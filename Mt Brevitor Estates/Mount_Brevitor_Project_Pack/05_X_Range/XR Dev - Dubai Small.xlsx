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eelrasoul/Desktop/"/>
    </mc:Choice>
  </mc:AlternateContent>
  <xr:revisionPtr revIDLastSave="0" documentId="13_ncr:1_{169D7C74-89A9-A54F-9000-89319659AFDA}" xr6:coauthVersionLast="47" xr6:coauthVersionMax="47" xr10:uidLastSave="{00000000-0000-0000-0000-000000000000}"/>
  <workbookProtection workbookAlgorithmName="SHA-512" workbookHashValue="pbLe0df0v1ZMhp4PO6j35OOZDbXMsj2JWkir4Z7KgeW+nn8Jfxjx7wsp40YmyJduBmdLqz0lURKKOMR1XhqtOA==" workbookSaltValue="tuJjwHdxbp56Xu+WBaFCXA==" workbookSpinCount="100000" lockStructure="1"/>
  <bookViews>
    <workbookView xWindow="0" yWindow="500" windowWidth="28800" windowHeight="15940" xr2:uid="{787717E3-3BF4-BF42-9620-DF234B43C3EE}"/>
  </bookViews>
  <sheets>
    <sheet name="Financial Summary" sheetId="1" r:id="rId1"/>
    <sheet name="Bay Revenue" sheetId="4" r:id="rId2"/>
    <sheet name="Hard + Soft Costs" sheetId="6" state="hidden" r:id="rId3"/>
    <sheet name="XRange Tech &amp; Equipment" sheetId="7" state="hidden" r:id="rId4"/>
    <sheet name="Area Schedule" sheetId="5" state="hidden" r:id="rId5"/>
    <sheet name="Sheet1" sheetId="8" state="hidden" r:id="rId6"/>
  </sheets>
  <externalReferences>
    <externalReference r:id="rId7"/>
    <externalReference r:id="rId8"/>
    <externalReference r:id="rId9"/>
  </externalReferences>
  <definedNames>
    <definedName name="__IntlFixup" hidden="1">TRUE</definedName>
    <definedName name="__IntlFixupTable" hidden="1">#REF!</definedName>
    <definedName name="_Order1" hidden="1">0</definedName>
    <definedName name="AA.Report.Files" hidden="1">#REF!</definedName>
    <definedName name="AA.Reports.Available" hidden="1">#REF!</definedName>
    <definedName name="AS2DocOpenMode" hidden="1">"AS2DocumentEdit"</definedName>
    <definedName name="DATA_01" hidden="1">'[1]Sales Seasonality by Month'!$B$4</definedName>
    <definedName name="DATA_02" hidden="1">'[1]Sales Seasonality by Month'!$B$9</definedName>
    <definedName name="DATA_03" hidden="1">'[1]Sales Seasonality by Month'!$C$9:$C$20</definedName>
    <definedName name="DATA_04" hidden="1">'[1]Sales Seasonality by Month'!$F$9:$F$20</definedName>
    <definedName name="Data.Dump" hidden="1">OFFSET([2]!Data.Top.Left,1,0)</definedName>
    <definedName name="Database.File" hidden="1">#REF!</definedName>
    <definedName name="File.Type" hidden="1">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LABOR_TAX" hidden="1">'[3]Service Invoice'!$G$15</definedName>
    <definedName name="Ownership" hidden="1">OFFSET([2]!Data.Top.Left,1,0)</definedName>
    <definedName name="PARTS_TAX" hidden="1">'[3]Service Invoice'!$D$15</definedName>
    <definedName name="Show.Acct.Update.Warning" hidden="1">#REF!</definedName>
    <definedName name="Show.MDB.Update.Warning" hidden="1">#REF!</definedName>
    <definedName name="TextRefCopyRangeCount" hidden="1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4" l="1"/>
  <c r="G46" i="4"/>
  <c r="F46" i="4"/>
  <c r="E46" i="4"/>
  <c r="H45" i="4"/>
  <c r="G45" i="4"/>
  <c r="F45" i="4"/>
  <c r="E45" i="4"/>
  <c r="H44" i="4"/>
  <c r="G44" i="4"/>
  <c r="F44" i="4"/>
  <c r="F43" i="4"/>
  <c r="E43" i="4"/>
  <c r="E44" i="4"/>
  <c r="H43" i="4"/>
  <c r="G43" i="4"/>
  <c r="E1" i="7"/>
  <c r="E7" i="7"/>
  <c r="E8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B39" i="7"/>
  <c r="E56" i="7"/>
  <c r="E39" i="7" l="1"/>
  <c r="D39" i="7" s="1"/>
  <c r="A23" i="6"/>
  <c r="F47" i="7"/>
  <c r="F50" i="7"/>
  <c r="I6" i="4" l="1"/>
  <c r="H6" i="4"/>
  <c r="F6" i="4"/>
  <c r="E6" i="4"/>
  <c r="E63" i="4"/>
  <c r="H1" i="4"/>
  <c r="E40" i="1"/>
  <c r="C30" i="1"/>
  <c r="C31" i="1" s="1"/>
  <c r="C32" i="1" s="1"/>
  <c r="B108" i="1"/>
  <c r="F27" i="6"/>
  <c r="F31" i="6" s="1"/>
  <c r="F44" i="6" s="1"/>
  <c r="F85" i="4"/>
  <c r="F109" i="4" s="1"/>
  <c r="F131" i="4" s="1"/>
  <c r="E85" i="4"/>
  <c r="E109" i="4" s="1"/>
  <c r="E131" i="4" s="1"/>
  <c r="I63" i="4"/>
  <c r="I85" i="4" s="1"/>
  <c r="I109" i="4" s="1"/>
  <c r="I131" i="4" s="1"/>
  <c r="H63" i="4"/>
  <c r="H85" i="4" s="1"/>
  <c r="H109" i="4" s="1"/>
  <c r="H131" i="4" s="1"/>
  <c r="F63" i="4"/>
  <c r="C42" i="4"/>
  <c r="B42" i="4"/>
  <c r="F121" i="1"/>
  <c r="I121" i="1" s="1"/>
  <c r="E121" i="1"/>
  <c r="H121" i="1" s="1"/>
  <c r="E59" i="1"/>
  <c r="E1" i="6"/>
  <c r="B1" i="5"/>
  <c r="B109" i="1"/>
  <c r="C25" i="4"/>
  <c r="N59" i="1"/>
  <c r="M59" i="1"/>
  <c r="L59" i="1"/>
  <c r="K59" i="1"/>
  <c r="J59" i="1"/>
  <c r="I59" i="1"/>
  <c r="H59" i="1"/>
  <c r="G59" i="1"/>
  <c r="F59" i="1"/>
  <c r="E58" i="1"/>
  <c r="N40" i="1"/>
  <c r="M40" i="1"/>
  <c r="L40" i="1"/>
  <c r="K40" i="1"/>
  <c r="J40" i="1"/>
  <c r="I40" i="1"/>
  <c r="H40" i="1"/>
  <c r="G40" i="1"/>
  <c r="F40" i="1"/>
  <c r="B60" i="4"/>
  <c r="B19" i="4"/>
  <c r="B67" i="4" s="1"/>
  <c r="B76" i="4" s="1"/>
  <c r="B89" i="4" s="1"/>
  <c r="B98" i="4" s="1"/>
  <c r="B18" i="4"/>
  <c r="B66" i="4" s="1"/>
  <c r="B75" i="4" s="1"/>
  <c r="B88" i="4" s="1"/>
  <c r="B16" i="4"/>
  <c r="B64" i="4" s="1"/>
  <c r="B73" i="4" s="1"/>
  <c r="B86" i="4" s="1"/>
  <c r="E147" i="6"/>
  <c r="F147" i="6" s="1"/>
  <c r="F150" i="6" s="1"/>
  <c r="B95" i="4" l="1"/>
  <c r="B110" i="4"/>
  <c r="B112" i="4"/>
  <c r="B97" i="4"/>
  <c r="B119" i="4" s="1"/>
  <c r="B132" i="4" s="1"/>
  <c r="B141" i="4" s="1"/>
  <c r="B113" i="4"/>
  <c r="B122" i="4" s="1"/>
  <c r="B135" i="4" s="1"/>
  <c r="B144" i="4" s="1"/>
  <c r="B17" i="4" l="1"/>
  <c r="B65" i="4" s="1"/>
  <c r="B74" i="4" s="1"/>
  <c r="B87" i="4" s="1"/>
  <c r="B96" i="4" l="1"/>
  <c r="B111" i="4"/>
  <c r="B120" i="4" s="1"/>
  <c r="B133" i="4" s="1"/>
  <c r="B142" i="4" s="1"/>
  <c r="E129" i="6"/>
  <c r="F129" i="6" s="1"/>
  <c r="E130" i="6"/>
  <c r="F130" i="6" s="1"/>
  <c r="B108" i="6"/>
  <c r="B107" i="6"/>
  <c r="E107" i="6" s="1"/>
  <c r="F107" i="6" s="1"/>
  <c r="B106" i="6"/>
  <c r="B105" i="6"/>
  <c r="B104" i="6"/>
  <c r="B103" i="6"/>
  <c r="B102" i="6"/>
  <c r="B100" i="6"/>
  <c r="B99" i="6"/>
  <c r="B98" i="6"/>
  <c r="B97" i="6"/>
  <c r="B96" i="6"/>
  <c r="B92" i="6"/>
  <c r="B94" i="6"/>
  <c r="E94" i="6" s="1"/>
  <c r="F94" i="6" s="1"/>
  <c r="B93" i="6"/>
  <c r="B91" i="6"/>
  <c r="E91" i="6" s="1"/>
  <c r="F91" i="6" s="1"/>
  <c r="B90" i="6"/>
  <c r="E90" i="6" s="1"/>
  <c r="F90" i="6" s="1"/>
  <c r="B89" i="6"/>
  <c r="E89" i="6" s="1"/>
  <c r="F89" i="6" s="1"/>
  <c r="B88" i="6"/>
  <c r="B87" i="6"/>
  <c r="E87" i="6" s="1"/>
  <c r="F87" i="6" s="1"/>
  <c r="B57" i="6"/>
  <c r="E57" i="6" s="1"/>
  <c r="F57" i="6" s="1"/>
  <c r="B55" i="6"/>
  <c r="B61" i="6" s="1"/>
  <c r="E61" i="6" s="1"/>
  <c r="F61" i="6" s="1"/>
  <c r="B51" i="6"/>
  <c r="B50" i="6"/>
  <c r="E50" i="6" s="1"/>
  <c r="F50" i="6" s="1"/>
  <c r="B49" i="6"/>
  <c r="E49" i="6" s="1"/>
  <c r="F49" i="6" s="1"/>
  <c r="B46" i="6"/>
  <c r="B64" i="6" s="1"/>
  <c r="B45" i="6"/>
  <c r="C12" i="5"/>
  <c r="C11" i="5"/>
  <c r="C9" i="5"/>
  <c r="C6" i="5"/>
  <c r="C36" i="5"/>
  <c r="C35" i="5"/>
  <c r="C29" i="5"/>
  <c r="C28" i="5"/>
  <c r="C27" i="5"/>
  <c r="C26" i="5"/>
  <c r="C25" i="5"/>
  <c r="C24" i="5"/>
  <c r="C23" i="5"/>
  <c r="C20" i="5"/>
  <c r="C19" i="5"/>
  <c r="C18" i="5"/>
  <c r="C17" i="5"/>
  <c r="C16" i="5"/>
  <c r="C13" i="5"/>
  <c r="C10" i="5"/>
  <c r="C8" i="5"/>
  <c r="C7" i="5"/>
  <c r="B37" i="5"/>
  <c r="E52" i="6"/>
  <c r="F52" i="6" s="1"/>
  <c r="E66" i="6"/>
  <c r="F66" i="6" s="1"/>
  <c r="B68" i="6"/>
  <c r="E68" i="6" s="1"/>
  <c r="F68" i="6" s="1"/>
  <c r="B69" i="6"/>
  <c r="E69" i="6" s="1"/>
  <c r="F69" i="6" s="1"/>
  <c r="B70" i="6"/>
  <c r="E70" i="6" s="1"/>
  <c r="F70" i="6" s="1"/>
  <c r="B71" i="6"/>
  <c r="E71" i="6" s="1"/>
  <c r="F71" i="6" s="1"/>
  <c r="B72" i="6"/>
  <c r="E72" i="6" s="1"/>
  <c r="F72" i="6" s="1"/>
  <c r="B73" i="6"/>
  <c r="E73" i="6" s="1"/>
  <c r="F73" i="6" s="1"/>
  <c r="E74" i="6"/>
  <c r="F74" i="6" s="1"/>
  <c r="E75" i="6"/>
  <c r="F75" i="6" s="1"/>
  <c r="E76" i="6"/>
  <c r="F76" i="6" s="1"/>
  <c r="B77" i="6"/>
  <c r="E77" i="6" s="1"/>
  <c r="F77" i="6" s="1"/>
  <c r="E78" i="6"/>
  <c r="F78" i="6" s="1"/>
  <c r="E83" i="6"/>
  <c r="F83" i="6" s="1"/>
  <c r="D96" i="6"/>
  <c r="D102" i="6" s="1"/>
  <c r="D97" i="6"/>
  <c r="D103" i="6" s="1"/>
  <c r="D98" i="6"/>
  <c r="D100" i="6"/>
  <c r="D108" i="6"/>
  <c r="G111" i="6"/>
  <c r="E121" i="6"/>
  <c r="F121" i="6" s="1"/>
  <c r="G121" i="6"/>
  <c r="B30" i="5"/>
  <c r="B21" i="5"/>
  <c r="B14" i="5"/>
  <c r="E11" i="6" l="1"/>
  <c r="F11" i="6" s="1"/>
  <c r="E18" i="6"/>
  <c r="F18" i="6" s="1"/>
  <c r="E17" i="6"/>
  <c r="F17" i="6" s="1"/>
  <c r="E93" i="6"/>
  <c r="F93" i="6" s="1"/>
  <c r="B117" i="6"/>
  <c r="B125" i="6" s="1"/>
  <c r="E125" i="6" s="1"/>
  <c r="F125" i="6" s="1"/>
  <c r="E150" i="6"/>
  <c r="B107" i="1" s="1"/>
  <c r="E12" i="6"/>
  <c r="F12" i="6" s="1"/>
  <c r="B116" i="6"/>
  <c r="E116" i="6" s="1"/>
  <c r="F116" i="6" s="1"/>
  <c r="B114" i="6"/>
  <c r="E114" i="6" s="1"/>
  <c r="F114" i="6" s="1"/>
  <c r="B118" i="6"/>
  <c r="B124" i="6" s="1"/>
  <c r="E124" i="6" s="1"/>
  <c r="F124" i="6" s="1"/>
  <c r="B112" i="6"/>
  <c r="E112" i="6" s="1"/>
  <c r="F112" i="6" s="1"/>
  <c r="B113" i="6"/>
  <c r="E113" i="6" s="1"/>
  <c r="F113" i="6" s="1"/>
  <c r="B115" i="6"/>
  <c r="E115" i="6" s="1"/>
  <c r="F115" i="6" s="1"/>
  <c r="E88" i="6"/>
  <c r="F88" i="6" s="1"/>
  <c r="E100" i="6"/>
  <c r="F100" i="6" s="1"/>
  <c r="E55" i="6"/>
  <c r="F55" i="6" s="1"/>
  <c r="E98" i="6"/>
  <c r="F98" i="6" s="1"/>
  <c r="B62" i="6"/>
  <c r="E62" i="6" s="1"/>
  <c r="F62" i="6" s="1"/>
  <c r="E102" i="6"/>
  <c r="F102" i="6" s="1"/>
  <c r="E96" i="6"/>
  <c r="F96" i="6" s="1"/>
  <c r="E108" i="6"/>
  <c r="F108" i="6" s="1"/>
  <c r="E51" i="6"/>
  <c r="F51" i="6" s="1"/>
  <c r="E103" i="6"/>
  <c r="F103" i="6" s="1"/>
  <c r="B56" i="6"/>
  <c r="E56" i="6" s="1"/>
  <c r="F56" i="6" s="1"/>
  <c r="B82" i="6"/>
  <c r="E82" i="6" s="1"/>
  <c r="F82" i="6" s="1"/>
  <c r="B54" i="6"/>
  <c r="B81" i="6" s="1"/>
  <c r="E81" i="6" s="1"/>
  <c r="F81" i="6" s="1"/>
  <c r="E64" i="6"/>
  <c r="F64" i="6" s="1"/>
  <c r="B59" i="6"/>
  <c r="D106" i="6"/>
  <c r="E106" i="6" s="1"/>
  <c r="F106" i="6" s="1"/>
  <c r="C37" i="5"/>
  <c r="C21" i="5"/>
  <c r="B32" i="5"/>
  <c r="C30" i="5"/>
  <c r="C14" i="5"/>
  <c r="E45" i="6"/>
  <c r="F45" i="6" s="1"/>
  <c r="B80" i="6"/>
  <c r="E80" i="6" s="1"/>
  <c r="F80" i="6" s="1"/>
  <c r="E97" i="6"/>
  <c r="F97" i="6" s="1"/>
  <c r="D104" i="6"/>
  <c r="E104" i="6" s="1"/>
  <c r="F104" i="6" s="1"/>
  <c r="E46" i="6"/>
  <c r="F46" i="6" s="1"/>
  <c r="B3" i="6" l="1"/>
  <c r="C3" i="6" s="1"/>
  <c r="C32" i="5"/>
  <c r="E28" i="6"/>
  <c r="F28" i="6" s="1"/>
  <c r="E13" i="6"/>
  <c r="F13" i="6" s="1"/>
  <c r="E7" i="6"/>
  <c r="F7" i="6" s="1"/>
  <c r="E118" i="6"/>
  <c r="F118" i="6" s="1"/>
  <c r="B123" i="6"/>
  <c r="E123" i="6" s="1"/>
  <c r="F123" i="6" s="1"/>
  <c r="E117" i="6"/>
  <c r="F117" i="6" s="1"/>
  <c r="E54" i="6"/>
  <c r="F54" i="6" s="1"/>
  <c r="B60" i="6"/>
  <c r="E59" i="6"/>
  <c r="F59" i="6" s="1"/>
  <c r="D11" i="6" l="1"/>
  <c r="D12" i="6"/>
  <c r="D17" i="6"/>
  <c r="D18" i="6"/>
  <c r="D28" i="6"/>
  <c r="F30" i="6"/>
  <c r="E15" i="6"/>
  <c r="F15" i="6" s="1"/>
  <c r="D7" i="6"/>
  <c r="D13" i="6"/>
  <c r="E9" i="6"/>
  <c r="F9" i="6" s="1"/>
  <c r="E14" i="6"/>
  <c r="F14" i="6" s="1"/>
  <c r="E63" i="6"/>
  <c r="F63" i="6" s="1"/>
  <c r="E60" i="6"/>
  <c r="F60" i="6" s="1"/>
  <c r="F127" i="6" l="1"/>
  <c r="F132" i="6" s="1"/>
  <c r="D9" i="6"/>
  <c r="D14" i="6"/>
  <c r="D15" i="6"/>
  <c r="E10" i="6"/>
  <c r="F10" i="6" s="1"/>
  <c r="E127" i="6"/>
  <c r="F8" i="6" l="1"/>
  <c r="F16" i="6" s="1"/>
  <c r="F19" i="6" s="1"/>
  <c r="E132" i="6"/>
  <c r="E134" i="6" s="1"/>
  <c r="E8" i="6"/>
  <c r="D10" i="6"/>
  <c r="B134" i="1"/>
  <c r="B133" i="1"/>
  <c r="B132" i="1"/>
  <c r="B131" i="1"/>
  <c r="I118" i="1"/>
  <c r="H118" i="1"/>
  <c r="F118" i="1"/>
  <c r="E118" i="1"/>
  <c r="B116" i="1"/>
  <c r="C116" i="1" s="1"/>
  <c r="B125" i="1"/>
  <c r="B124" i="1"/>
  <c r="C123" i="1"/>
  <c r="B123" i="1"/>
  <c r="B122" i="1"/>
  <c r="G135" i="4"/>
  <c r="G134" i="4"/>
  <c r="G133" i="4"/>
  <c r="G132" i="4"/>
  <c r="B128" i="4"/>
  <c r="G113" i="4"/>
  <c r="G112" i="4"/>
  <c r="G111" i="4"/>
  <c r="G110" i="4"/>
  <c r="B106" i="4"/>
  <c r="H101" i="4"/>
  <c r="G101" i="4"/>
  <c r="B99" i="4"/>
  <c r="B121" i="4" s="1"/>
  <c r="B90" i="4"/>
  <c r="G89" i="4"/>
  <c r="G88" i="4"/>
  <c r="G87" i="4"/>
  <c r="G86" i="4"/>
  <c r="B82" i="4"/>
  <c r="B77" i="4"/>
  <c r="B68" i="4"/>
  <c r="G67" i="4"/>
  <c r="G66" i="4"/>
  <c r="G65" i="4"/>
  <c r="C74" i="4" s="1"/>
  <c r="D74" i="4" s="1"/>
  <c r="G64" i="4"/>
  <c r="H55" i="4"/>
  <c r="G55" i="4"/>
  <c r="B46" i="4"/>
  <c r="C46" i="4" s="1"/>
  <c r="B45" i="4"/>
  <c r="C45" i="4" s="1"/>
  <c r="B44" i="4"/>
  <c r="C44" i="4" s="1"/>
  <c r="B43" i="4"/>
  <c r="C43" i="4" s="1"/>
  <c r="C29" i="4"/>
  <c r="C101" i="4" s="1"/>
  <c r="C103" i="4" s="1"/>
  <c r="C125" i="4" s="1"/>
  <c r="C28" i="4"/>
  <c r="C55" i="4" s="1"/>
  <c r="C57" i="4" s="1"/>
  <c r="B20" i="4"/>
  <c r="B135" i="1" s="1"/>
  <c r="B11" i="4"/>
  <c r="B126" i="1" s="1"/>
  <c r="E15" i="1" s="1"/>
  <c r="F134" i="6" l="1"/>
  <c r="F136" i="6" s="1"/>
  <c r="C73" i="4"/>
  <c r="D73" i="4" s="1"/>
  <c r="E73" i="4" s="1"/>
  <c r="H73" i="4" s="1"/>
  <c r="B123" i="4"/>
  <c r="B134" i="4"/>
  <c r="B114" i="4"/>
  <c r="D43" i="4"/>
  <c r="E57" i="4" s="1"/>
  <c r="F57" i="4" s="1"/>
  <c r="D87" i="4"/>
  <c r="F50" i="4" s="1"/>
  <c r="D44" i="4"/>
  <c r="E79" i="4" s="1"/>
  <c r="C98" i="4"/>
  <c r="D98" i="4" s="1"/>
  <c r="E98" i="4" s="1"/>
  <c r="H98" i="4" s="1"/>
  <c r="I98" i="4" s="1"/>
  <c r="C97" i="4"/>
  <c r="D97" i="4" s="1"/>
  <c r="E97" i="4" s="1"/>
  <c r="H97" i="4" s="1"/>
  <c r="I97" i="4" s="1"/>
  <c r="C141" i="4"/>
  <c r="D141" i="4" s="1"/>
  <c r="E141" i="4" s="1"/>
  <c r="H141" i="4" s="1"/>
  <c r="C142" i="4"/>
  <c r="D142" i="4" s="1"/>
  <c r="E142" i="4" s="1"/>
  <c r="H142" i="4" s="1"/>
  <c r="I142" i="4" s="1"/>
  <c r="D133" i="4"/>
  <c r="E133" i="4" s="1"/>
  <c r="F133" i="4" s="1"/>
  <c r="C121" i="4"/>
  <c r="D121" i="4" s="1"/>
  <c r="E121" i="4" s="1"/>
  <c r="H121" i="4" s="1"/>
  <c r="I121" i="4" s="1"/>
  <c r="C122" i="4"/>
  <c r="D122" i="4" s="1"/>
  <c r="E122" i="4" s="1"/>
  <c r="H122" i="4" s="1"/>
  <c r="I122" i="4" s="1"/>
  <c r="C75" i="4"/>
  <c r="D75" i="4" s="1"/>
  <c r="E75" i="4" s="1"/>
  <c r="C143" i="4"/>
  <c r="D143" i="4" s="1"/>
  <c r="C76" i="4"/>
  <c r="D76" i="4" s="1"/>
  <c r="E76" i="4" s="1"/>
  <c r="H76" i="4" s="1"/>
  <c r="C144" i="4"/>
  <c r="D144" i="4" s="1"/>
  <c r="E144" i="4" s="1"/>
  <c r="H144" i="4" s="1"/>
  <c r="I144" i="4" s="1"/>
  <c r="D46" i="4"/>
  <c r="E125" i="4" s="1"/>
  <c r="F125" i="4" s="1"/>
  <c r="C95" i="4"/>
  <c r="D95" i="4" s="1"/>
  <c r="E95" i="4" s="1"/>
  <c r="H95" i="4" s="1"/>
  <c r="C30" i="4"/>
  <c r="B118" i="1" s="1"/>
  <c r="C96" i="4"/>
  <c r="D96" i="4" s="1"/>
  <c r="E96" i="4" s="1"/>
  <c r="H96" i="4" s="1"/>
  <c r="I96" i="4" s="1"/>
  <c r="D45" i="4"/>
  <c r="E103" i="4" s="1"/>
  <c r="F103" i="4" s="1"/>
  <c r="E74" i="4"/>
  <c r="E136" i="6"/>
  <c r="E20" i="6"/>
  <c r="F20" i="6" s="1"/>
  <c r="C120" i="4"/>
  <c r="D120" i="4" s="1"/>
  <c r="E120" i="4" s="1"/>
  <c r="H120" i="4" s="1"/>
  <c r="I120" i="4" s="1"/>
  <c r="D111" i="4"/>
  <c r="D113" i="4" s="1"/>
  <c r="E113" i="4" s="1"/>
  <c r="F113" i="4" s="1"/>
  <c r="E16" i="6"/>
  <c r="D8" i="6"/>
  <c r="D65" i="4"/>
  <c r="C119" i="4"/>
  <c r="D119" i="4" s="1"/>
  <c r="E119" i="4" s="1"/>
  <c r="C79" i="4"/>
  <c r="B136" i="4" l="1"/>
  <c r="B143" i="4"/>
  <c r="B145" i="4" s="1"/>
  <c r="E138" i="6"/>
  <c r="F138" i="6" s="1"/>
  <c r="F142" i="6" s="1"/>
  <c r="E140" i="6"/>
  <c r="E23" i="6" s="1"/>
  <c r="D20" i="6"/>
  <c r="F21" i="6"/>
  <c r="H75" i="4"/>
  <c r="I75" i="4" s="1"/>
  <c r="E77" i="4"/>
  <c r="D88" i="4"/>
  <c r="E87" i="4"/>
  <c r="F87" i="4" s="1"/>
  <c r="D86" i="4"/>
  <c r="E50" i="4" s="1"/>
  <c r="D89" i="4"/>
  <c r="H50" i="4" s="1"/>
  <c r="F79" i="4"/>
  <c r="E111" i="4"/>
  <c r="D135" i="4"/>
  <c r="H52" i="4" s="1"/>
  <c r="E55" i="4"/>
  <c r="F55" i="4" s="1"/>
  <c r="D134" i="4"/>
  <c r="E134" i="4" s="1"/>
  <c r="F134" i="4" s="1"/>
  <c r="F52" i="4"/>
  <c r="D132" i="4"/>
  <c r="E52" i="4" s="1"/>
  <c r="E99" i="4"/>
  <c r="H74" i="4"/>
  <c r="F51" i="4"/>
  <c r="D110" i="4"/>
  <c r="E51" i="4" s="1"/>
  <c r="E101" i="4"/>
  <c r="F101" i="4" s="1"/>
  <c r="H51" i="4"/>
  <c r="D112" i="4"/>
  <c r="G51" i="4" s="1"/>
  <c r="E16" i="4"/>
  <c r="E131" i="1" s="1"/>
  <c r="E19" i="4"/>
  <c r="D19" i="4" s="1"/>
  <c r="D134" i="1" s="1"/>
  <c r="E17" i="4"/>
  <c r="E132" i="1" s="1"/>
  <c r="E19" i="6"/>
  <c r="E21" i="6" s="1"/>
  <c r="D16" i="6"/>
  <c r="D66" i="4"/>
  <c r="D67" i="4"/>
  <c r="D64" i="4"/>
  <c r="F49" i="4"/>
  <c r="E65" i="4"/>
  <c r="F65" i="4" s="1"/>
  <c r="H87" i="4"/>
  <c r="I87" i="4" s="1"/>
  <c r="E89" i="4"/>
  <c r="F89" i="4" s="1"/>
  <c r="I76" i="4"/>
  <c r="H19" i="4"/>
  <c r="H134" i="1" s="1"/>
  <c r="H119" i="4"/>
  <c r="H16" i="4" s="1"/>
  <c r="E123" i="4"/>
  <c r="I141" i="4"/>
  <c r="H133" i="4"/>
  <c r="I133" i="4" s="1"/>
  <c r="E86" i="4"/>
  <c r="F86" i="4" s="1"/>
  <c r="I73" i="4"/>
  <c r="E88" i="4"/>
  <c r="F88" i="4" s="1"/>
  <c r="G50" i="4"/>
  <c r="H99" i="4"/>
  <c r="I95" i="4"/>
  <c r="H113" i="4"/>
  <c r="I113" i="4" s="1"/>
  <c r="E135" i="4" l="1"/>
  <c r="F135" i="4" s="1"/>
  <c r="E143" i="4"/>
  <c r="H111" i="4"/>
  <c r="I111" i="4" s="1"/>
  <c r="F111" i="4"/>
  <c r="F8" i="4" s="1"/>
  <c r="D23" i="6"/>
  <c r="E24" i="6"/>
  <c r="E22" i="6"/>
  <c r="F22" i="6" s="1"/>
  <c r="F24" i="6" s="1"/>
  <c r="H131" i="1"/>
  <c r="H77" i="4"/>
  <c r="I77" i="4" s="1"/>
  <c r="D123" i="4"/>
  <c r="C123" i="4" s="1"/>
  <c r="D77" i="4"/>
  <c r="C77" i="4" s="1"/>
  <c r="D99" i="4"/>
  <c r="C99" i="4" s="1"/>
  <c r="E110" i="4"/>
  <c r="F110" i="4" s="1"/>
  <c r="G79" i="4"/>
  <c r="G80" i="4" s="1"/>
  <c r="G81" i="4" s="1"/>
  <c r="G52" i="4"/>
  <c r="E132" i="4"/>
  <c r="F132" i="4" s="1"/>
  <c r="E112" i="4"/>
  <c r="F112" i="4" s="1"/>
  <c r="H17" i="4"/>
  <c r="H132" i="1" s="1"/>
  <c r="I74" i="4"/>
  <c r="E134" i="1"/>
  <c r="D17" i="4"/>
  <c r="D132" i="1" s="1"/>
  <c r="D16" i="4"/>
  <c r="D131" i="1" s="1"/>
  <c r="E142" i="6"/>
  <c r="D21" i="6"/>
  <c r="D19" i="6"/>
  <c r="H134" i="4"/>
  <c r="I134" i="4" s="1"/>
  <c r="H89" i="4"/>
  <c r="I89" i="4" s="1"/>
  <c r="D34" i="4"/>
  <c r="B34" i="4" s="1"/>
  <c r="C34" i="4" s="1"/>
  <c r="I99" i="4"/>
  <c r="H65" i="4"/>
  <c r="I65" i="4" s="1"/>
  <c r="E8" i="4"/>
  <c r="H88" i="4"/>
  <c r="I88" i="4" s="1"/>
  <c r="I16" i="4"/>
  <c r="I131" i="1" s="1"/>
  <c r="E49" i="4"/>
  <c r="E64" i="4"/>
  <c r="G16" i="4"/>
  <c r="F16" i="4" s="1"/>
  <c r="E67" i="4"/>
  <c r="F67" i="4" s="1"/>
  <c r="F10" i="4" s="1"/>
  <c r="H49" i="4"/>
  <c r="E66" i="4"/>
  <c r="F66" i="4" s="1"/>
  <c r="G49" i="4"/>
  <c r="H86" i="4"/>
  <c r="I86" i="4" s="1"/>
  <c r="E90" i="4"/>
  <c r="D90" i="4" s="1"/>
  <c r="I19" i="4"/>
  <c r="I134" i="1" s="1"/>
  <c r="I119" i="4"/>
  <c r="H123" i="4"/>
  <c r="G19" i="4"/>
  <c r="H132" i="4" l="1"/>
  <c r="I132" i="4" s="1"/>
  <c r="H135" i="4"/>
  <c r="I135" i="4" s="1"/>
  <c r="I8" i="4"/>
  <c r="H110" i="4"/>
  <c r="I110" i="4" s="1"/>
  <c r="F9" i="4"/>
  <c r="H143" i="4"/>
  <c r="E18" i="4"/>
  <c r="E145" i="4"/>
  <c r="D145" i="4" s="1"/>
  <c r="C145" i="4" s="1"/>
  <c r="E7" i="4"/>
  <c r="D7" i="4" s="1"/>
  <c r="E53" i="4" s="1"/>
  <c r="F64" i="4"/>
  <c r="H64" i="4"/>
  <c r="I64" i="4" s="1"/>
  <c r="E123" i="1"/>
  <c r="D8" i="4"/>
  <c r="G57" i="4"/>
  <c r="G58" i="4" s="1"/>
  <c r="G59" i="4" s="1"/>
  <c r="D33" i="4"/>
  <c r="B33" i="4" s="1"/>
  <c r="C33" i="4" s="1"/>
  <c r="I90" i="4"/>
  <c r="H124" i="4"/>
  <c r="G103" i="4"/>
  <c r="E136" i="4"/>
  <c r="D136" i="4" s="1"/>
  <c r="E114" i="4"/>
  <c r="D114" i="4" s="1"/>
  <c r="G17" i="4"/>
  <c r="G132" i="1" s="1"/>
  <c r="I17" i="4"/>
  <c r="I132" i="1" s="1"/>
  <c r="H112" i="4"/>
  <c r="I112" i="4" s="1"/>
  <c r="E30" i="6"/>
  <c r="F19" i="4"/>
  <c r="F134" i="1" s="1"/>
  <c r="G134" i="1"/>
  <c r="F131" i="1"/>
  <c r="G131" i="1"/>
  <c r="F136" i="4"/>
  <c r="F90" i="4"/>
  <c r="D22" i="6"/>
  <c r="B106" i="1"/>
  <c r="F123" i="1"/>
  <c r="E10" i="4"/>
  <c r="H67" i="4"/>
  <c r="I67" i="4" s="1"/>
  <c r="I10" i="4" s="1"/>
  <c r="D36" i="4"/>
  <c r="B36" i="4" s="1"/>
  <c r="I123" i="4"/>
  <c r="H90" i="4"/>
  <c r="I50" i="4" s="1"/>
  <c r="I136" i="4"/>
  <c r="H136" i="4"/>
  <c r="E68" i="4"/>
  <c r="D68" i="4" s="1"/>
  <c r="E9" i="4"/>
  <c r="H66" i="4"/>
  <c r="I66" i="4" s="1"/>
  <c r="H8" i="4"/>
  <c r="H123" i="1" s="1"/>
  <c r="F114" i="4"/>
  <c r="I9" i="4" l="1"/>
  <c r="I7" i="4"/>
  <c r="D18" i="4"/>
  <c r="D133" i="1" s="1"/>
  <c r="E133" i="1"/>
  <c r="E20" i="4"/>
  <c r="F7" i="4"/>
  <c r="F68" i="4"/>
  <c r="I143" i="4"/>
  <c r="H145" i="4"/>
  <c r="H18" i="4"/>
  <c r="E122" i="1"/>
  <c r="D35" i="4"/>
  <c r="B35" i="4" s="1"/>
  <c r="C35" i="4" s="1"/>
  <c r="E124" i="1"/>
  <c r="D9" i="4"/>
  <c r="G53" i="4" s="1"/>
  <c r="E125" i="1"/>
  <c r="D10" i="4"/>
  <c r="H53" i="4" s="1"/>
  <c r="I52" i="4"/>
  <c r="E37" i="4"/>
  <c r="F17" i="4"/>
  <c r="F132" i="1" s="1"/>
  <c r="G104" i="4"/>
  <c r="G105" i="4" s="1"/>
  <c r="I114" i="4"/>
  <c r="H114" i="4"/>
  <c r="D30" i="6"/>
  <c r="E34" i="6"/>
  <c r="F34" i="6" s="1"/>
  <c r="F53" i="4"/>
  <c r="D123" i="1"/>
  <c r="E33" i="6"/>
  <c r="F33" i="6" s="1"/>
  <c r="E32" i="6"/>
  <c r="F32" i="6" s="1"/>
  <c r="D24" i="6"/>
  <c r="G90" i="4"/>
  <c r="I44" i="4" s="1"/>
  <c r="E34" i="4"/>
  <c r="F34" i="4" s="1"/>
  <c r="I123" i="1"/>
  <c r="G8" i="4"/>
  <c r="H7" i="4"/>
  <c r="H68" i="4"/>
  <c r="I49" i="4" s="1"/>
  <c r="C36" i="4"/>
  <c r="H10" i="4"/>
  <c r="H125" i="1" s="1"/>
  <c r="F125" i="1"/>
  <c r="H9" i="4"/>
  <c r="H124" i="1" s="1"/>
  <c r="G136" i="4"/>
  <c r="I46" i="4" s="1"/>
  <c r="F124" i="1"/>
  <c r="E11" i="4"/>
  <c r="D122" i="1"/>
  <c r="F122" i="1"/>
  <c r="D124" i="1" l="1"/>
  <c r="G125" i="4"/>
  <c r="G126" i="4" s="1"/>
  <c r="G127" i="4" s="1"/>
  <c r="D37" i="4"/>
  <c r="I145" i="4"/>
  <c r="H133" i="1"/>
  <c r="I18" i="4"/>
  <c r="I133" i="1" s="1"/>
  <c r="H20" i="4"/>
  <c r="D20" i="4"/>
  <c r="D135" i="1" s="1"/>
  <c r="E135" i="1"/>
  <c r="D125" i="1"/>
  <c r="G18" i="4"/>
  <c r="G133" i="1" s="1"/>
  <c r="H122" i="1"/>
  <c r="G7" i="4"/>
  <c r="D34" i="6"/>
  <c r="D33" i="6"/>
  <c r="F36" i="6"/>
  <c r="G68" i="4"/>
  <c r="I43" i="4" s="1"/>
  <c r="G114" i="4"/>
  <c r="I45" i="4" s="1"/>
  <c r="I51" i="4"/>
  <c r="E36" i="4"/>
  <c r="F36" i="4" s="1"/>
  <c r="E36" i="6"/>
  <c r="B105" i="1" s="1"/>
  <c r="B110" i="1" s="1"/>
  <c r="D32" i="6"/>
  <c r="C17" i="4"/>
  <c r="C132" i="1" s="1"/>
  <c r="G123" i="1"/>
  <c r="I68" i="4"/>
  <c r="D11" i="4"/>
  <c r="E126" i="1"/>
  <c r="I124" i="1"/>
  <c r="G9" i="4"/>
  <c r="E33" i="4"/>
  <c r="H11" i="4"/>
  <c r="G11" i="4" s="1"/>
  <c r="I125" i="1"/>
  <c r="G10" i="4"/>
  <c r="C9" i="4"/>
  <c r="C124" i="1" s="1"/>
  <c r="C7" i="4"/>
  <c r="C122" i="1" s="1"/>
  <c r="C10" i="4"/>
  <c r="C125" i="1" s="1"/>
  <c r="F11" i="4"/>
  <c r="F126" i="1" s="1"/>
  <c r="F18" i="4" l="1"/>
  <c r="F133" i="1" s="1"/>
  <c r="K49" i="4"/>
  <c r="I20" i="4"/>
  <c r="I135" i="1" s="1"/>
  <c r="H135" i="1"/>
  <c r="B37" i="4"/>
  <c r="C37" i="4" s="1"/>
  <c r="D38" i="4"/>
  <c r="F37" i="4"/>
  <c r="E38" i="4"/>
  <c r="D126" i="1"/>
  <c r="E17" i="1" s="1"/>
  <c r="D36" i="6"/>
  <c r="I11" i="4"/>
  <c r="I126" i="1" s="1"/>
  <c r="I122" i="1"/>
  <c r="C19" i="4"/>
  <c r="C134" i="1" s="1"/>
  <c r="G125" i="1"/>
  <c r="C16" i="4"/>
  <c r="C131" i="1" s="1"/>
  <c r="G122" i="1"/>
  <c r="H126" i="1"/>
  <c r="C18" i="4"/>
  <c r="C133" i="1" s="1"/>
  <c r="G124" i="1"/>
  <c r="E35" i="4"/>
  <c r="F33" i="4"/>
  <c r="F38" i="4" l="1"/>
  <c r="B38" i="4"/>
  <c r="C38" i="4" s="1"/>
  <c r="D39" i="4"/>
  <c r="B39" i="4" s="1"/>
  <c r="C39" i="4" s="1"/>
  <c r="C20" i="4"/>
  <c r="C135" i="1" s="1"/>
  <c r="G126" i="1"/>
  <c r="F35" i="4"/>
  <c r="E39" i="4"/>
  <c r="D90" i="1"/>
  <c r="C90" i="1"/>
  <c r="E90" i="1"/>
  <c r="E14" i="1"/>
  <c r="E32" i="1" s="1"/>
  <c r="F39" i="4" l="1"/>
  <c r="G16" i="1"/>
  <c r="H16" i="1" s="1"/>
  <c r="I16" i="1" s="1"/>
  <c r="B90" i="1"/>
  <c r="C89" i="1"/>
  <c r="E28" i="1"/>
  <c r="E31" i="1"/>
  <c r="E33" i="1"/>
  <c r="E30" i="1"/>
  <c r="B111" i="1"/>
  <c r="N30" i="1"/>
  <c r="M30" i="1"/>
  <c r="L30" i="1"/>
  <c r="K30" i="1"/>
  <c r="J30" i="1"/>
  <c r="I30" i="1"/>
  <c r="H30" i="1"/>
  <c r="G30" i="1"/>
  <c r="F30" i="1"/>
  <c r="J16" i="1" l="1"/>
  <c r="K16" i="1" s="1"/>
  <c r="E16" i="1"/>
  <c r="B12" i="1"/>
  <c r="L16" i="1" l="1"/>
  <c r="M16" i="1" s="1"/>
  <c r="N16" i="1" s="1"/>
  <c r="B11" i="1"/>
  <c r="K44" i="4" s="1"/>
  <c r="E23" i="1" l="1"/>
  <c r="F16" i="1"/>
  <c r="E93" i="1"/>
  <c r="D93" i="1"/>
  <c r="C93" i="1"/>
  <c r="E92" i="1"/>
  <c r="D92" i="1"/>
  <c r="C92" i="1"/>
  <c r="E91" i="1"/>
  <c r="D91" i="1"/>
  <c r="C91" i="1"/>
  <c r="E89" i="1"/>
  <c r="D89" i="1"/>
  <c r="E88" i="1"/>
  <c r="D88" i="1"/>
  <c r="C88" i="1"/>
  <c r="E87" i="1"/>
  <c r="C87" i="1"/>
  <c r="D87" i="1"/>
  <c r="E24" i="1" l="1"/>
  <c r="E39" i="1" s="1"/>
  <c r="B89" i="1"/>
  <c r="B88" i="1"/>
  <c r="C98" i="1"/>
  <c r="E27" i="1"/>
  <c r="E25" i="1"/>
  <c r="E9" i="1"/>
  <c r="N33" i="1"/>
  <c r="N46" i="1" s="1"/>
  <c r="M33" i="1"/>
  <c r="M46" i="1" s="1"/>
  <c r="L33" i="1"/>
  <c r="L46" i="1" s="1"/>
  <c r="K33" i="1"/>
  <c r="K46" i="1" s="1"/>
  <c r="J33" i="1"/>
  <c r="J46" i="1" s="1"/>
  <c r="I33" i="1"/>
  <c r="I46" i="1" s="1"/>
  <c r="H33" i="1"/>
  <c r="H46" i="1" s="1"/>
  <c r="G33" i="1"/>
  <c r="G46" i="1" s="1"/>
  <c r="F33" i="1"/>
  <c r="F46" i="1" s="1"/>
  <c r="E46" i="1"/>
  <c r="N32" i="1"/>
  <c r="N45" i="1" s="1"/>
  <c r="M32" i="1"/>
  <c r="M45" i="1" s="1"/>
  <c r="L32" i="1"/>
  <c r="L45" i="1" s="1"/>
  <c r="K32" i="1"/>
  <c r="K45" i="1" s="1"/>
  <c r="J32" i="1"/>
  <c r="J45" i="1" s="1"/>
  <c r="I32" i="1"/>
  <c r="I45" i="1" s="1"/>
  <c r="H32" i="1"/>
  <c r="H45" i="1" s="1"/>
  <c r="G32" i="1"/>
  <c r="G45" i="1" s="1"/>
  <c r="F32" i="1"/>
  <c r="F45" i="1" s="1"/>
  <c r="E45" i="1"/>
  <c r="N31" i="1"/>
  <c r="N44" i="1" s="1"/>
  <c r="M31" i="1"/>
  <c r="M44" i="1" s="1"/>
  <c r="L31" i="1"/>
  <c r="L44" i="1" s="1"/>
  <c r="K31" i="1"/>
  <c r="K44" i="1" s="1"/>
  <c r="J31" i="1"/>
  <c r="J44" i="1" s="1"/>
  <c r="I31" i="1"/>
  <c r="I44" i="1" s="1"/>
  <c r="H31" i="1"/>
  <c r="H44" i="1" s="1"/>
  <c r="G31" i="1"/>
  <c r="G44" i="1" s="1"/>
  <c r="F31" i="1"/>
  <c r="F44" i="1" s="1"/>
  <c r="E44" i="1"/>
  <c r="N28" i="1"/>
  <c r="M28" i="1"/>
  <c r="L28" i="1"/>
  <c r="K28" i="1"/>
  <c r="J28" i="1"/>
  <c r="I28" i="1"/>
  <c r="H28" i="1"/>
  <c r="G28" i="1"/>
  <c r="F28" i="1"/>
  <c r="F15" i="1"/>
  <c r="G15" i="1" s="1"/>
  <c r="H15" i="1" s="1"/>
  <c r="I15" i="1" s="1"/>
  <c r="J15" i="1" s="1"/>
  <c r="K15" i="1" s="1"/>
  <c r="L15" i="1" s="1"/>
  <c r="M15" i="1" s="1"/>
  <c r="N15" i="1" s="1"/>
  <c r="G14" i="1"/>
  <c r="H14" i="1" s="1"/>
  <c r="I14" i="1" s="1"/>
  <c r="J14" i="1" s="1"/>
  <c r="K14" i="1" s="1"/>
  <c r="L14" i="1" s="1"/>
  <c r="M14" i="1" s="1"/>
  <c r="N14" i="1" s="1"/>
  <c r="D20" i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F17" i="1"/>
  <c r="E26" i="1" l="1"/>
  <c r="F23" i="1"/>
  <c r="E96" i="1"/>
  <c r="D98" i="1"/>
  <c r="B91" i="1"/>
  <c r="B92" i="1"/>
  <c r="B93" i="1"/>
  <c r="G17" i="1"/>
  <c r="G23" i="1" s="1"/>
  <c r="B87" i="1"/>
  <c r="F27" i="1" l="1"/>
  <c r="F9" i="1"/>
  <c r="G96" i="1"/>
  <c r="G9" i="1"/>
  <c r="F96" i="1"/>
  <c r="E43" i="1"/>
  <c r="E41" i="1"/>
  <c r="E34" i="1"/>
  <c r="E47" i="1" s="1"/>
  <c r="E29" i="1"/>
  <c r="F43" i="1"/>
  <c r="F25" i="1"/>
  <c r="F24" i="1"/>
  <c r="F34" i="1"/>
  <c r="F47" i="1" s="1"/>
  <c r="H17" i="1"/>
  <c r="H23" i="1" s="1"/>
  <c r="E10" i="1" l="1"/>
  <c r="F41" i="1"/>
  <c r="F29" i="1"/>
  <c r="F10" i="1" s="1"/>
  <c r="H96" i="1"/>
  <c r="H9" i="1"/>
  <c r="F39" i="1"/>
  <c r="E42" i="1"/>
  <c r="E52" i="1" s="1"/>
  <c r="F35" i="1"/>
  <c r="F53" i="1" s="1"/>
  <c r="F26" i="1"/>
  <c r="G43" i="1"/>
  <c r="G25" i="1"/>
  <c r="G24" i="1"/>
  <c r="G34" i="1"/>
  <c r="G47" i="1" s="1"/>
  <c r="G27" i="1"/>
  <c r="I17" i="1"/>
  <c r="I23" i="1" s="1"/>
  <c r="E35" i="1"/>
  <c r="E36" i="1" s="1"/>
  <c r="F11" i="1" l="1"/>
  <c r="F12" i="1" s="1"/>
  <c r="E60" i="1"/>
  <c r="E11" i="1"/>
  <c r="E12" i="1" s="1"/>
  <c r="E53" i="1"/>
  <c r="F42" i="1"/>
  <c r="F52" i="1" s="1"/>
  <c r="G41" i="1"/>
  <c r="G29" i="1"/>
  <c r="G10" i="1" s="1"/>
  <c r="I96" i="1"/>
  <c r="I9" i="1"/>
  <c r="G39" i="1"/>
  <c r="F51" i="1"/>
  <c r="E51" i="1"/>
  <c r="F36" i="1"/>
  <c r="F63" i="1" s="1"/>
  <c r="G26" i="1"/>
  <c r="H43" i="1"/>
  <c r="H25" i="1"/>
  <c r="H24" i="1"/>
  <c r="H34" i="1"/>
  <c r="H47" i="1" s="1"/>
  <c r="H27" i="1"/>
  <c r="J17" i="1"/>
  <c r="J23" i="1" s="1"/>
  <c r="G35" i="1"/>
  <c r="G53" i="1" s="1"/>
  <c r="F62" i="1" l="1"/>
  <c r="F60" i="1"/>
  <c r="F61" i="1"/>
  <c r="E63" i="1"/>
  <c r="E62" i="1"/>
  <c r="E61" i="1"/>
  <c r="F54" i="1"/>
  <c r="F48" i="1"/>
  <c r="G11" i="1"/>
  <c r="G12" i="1" s="1"/>
  <c r="G42" i="1"/>
  <c r="G52" i="1" s="1"/>
  <c r="H41" i="1"/>
  <c r="H29" i="1"/>
  <c r="H10" i="1" s="1"/>
  <c r="G51" i="1"/>
  <c r="H39" i="1"/>
  <c r="J96" i="1"/>
  <c r="J9" i="1"/>
  <c r="E73" i="1"/>
  <c r="F68" i="1"/>
  <c r="F72" i="1"/>
  <c r="F73" i="1"/>
  <c r="F74" i="1"/>
  <c r="F67" i="1"/>
  <c r="F77" i="1"/>
  <c r="F95" i="1"/>
  <c r="F81" i="1"/>
  <c r="E81" i="1"/>
  <c r="E95" i="1"/>
  <c r="G36" i="1"/>
  <c r="H26" i="1"/>
  <c r="E77" i="1"/>
  <c r="E68" i="1"/>
  <c r="E67" i="1"/>
  <c r="E72" i="1"/>
  <c r="E74" i="1"/>
  <c r="I24" i="1"/>
  <c r="I34" i="1"/>
  <c r="I47" i="1" s="1"/>
  <c r="I27" i="1"/>
  <c r="I25" i="1"/>
  <c r="K17" i="1"/>
  <c r="K23" i="1" s="1"/>
  <c r="H35" i="1"/>
  <c r="H11" i="1" s="1"/>
  <c r="G63" i="1" l="1"/>
  <c r="G62" i="1"/>
  <c r="G61" i="1"/>
  <c r="G60" i="1"/>
  <c r="E64" i="1"/>
  <c r="H12" i="1"/>
  <c r="F64" i="1"/>
  <c r="H42" i="1"/>
  <c r="H52" i="1" s="1"/>
  <c r="I29" i="1"/>
  <c r="I10" i="1" s="1"/>
  <c r="K96" i="1"/>
  <c r="K9" i="1"/>
  <c r="I39" i="1"/>
  <c r="H51" i="1"/>
  <c r="G95" i="1"/>
  <c r="G81" i="1"/>
  <c r="H36" i="1"/>
  <c r="H53" i="1"/>
  <c r="G77" i="1"/>
  <c r="G67" i="1"/>
  <c r="G74" i="1"/>
  <c r="G73" i="1"/>
  <c r="G72" i="1"/>
  <c r="G68" i="1"/>
  <c r="I26" i="1"/>
  <c r="I41" i="1"/>
  <c r="I35" i="1"/>
  <c r="I11" i="1" s="1"/>
  <c r="I43" i="1"/>
  <c r="J34" i="1"/>
  <c r="J47" i="1" s="1"/>
  <c r="J27" i="1"/>
  <c r="J43" i="1"/>
  <c r="J25" i="1"/>
  <c r="J24" i="1"/>
  <c r="L17" i="1"/>
  <c r="L23" i="1" s="1"/>
  <c r="H62" i="1" l="1"/>
  <c r="H61" i="1"/>
  <c r="H63" i="1"/>
  <c r="H60" i="1"/>
  <c r="G64" i="1"/>
  <c r="I12" i="1"/>
  <c r="J41" i="1"/>
  <c r="I42" i="1"/>
  <c r="I52" i="1" s="1"/>
  <c r="J29" i="1"/>
  <c r="J10" i="1" s="1"/>
  <c r="L96" i="1"/>
  <c r="L9" i="1"/>
  <c r="I36" i="1"/>
  <c r="H95" i="1"/>
  <c r="H81" i="1"/>
  <c r="I53" i="1"/>
  <c r="H74" i="1"/>
  <c r="H73" i="1"/>
  <c r="H72" i="1"/>
  <c r="H77" i="1"/>
  <c r="H67" i="1"/>
  <c r="H68" i="1"/>
  <c r="I51" i="1"/>
  <c r="J26" i="1"/>
  <c r="J39" i="1"/>
  <c r="J35" i="1"/>
  <c r="J53" i="1" s="1"/>
  <c r="K27" i="1"/>
  <c r="K43" i="1"/>
  <c r="K25" i="1"/>
  <c r="K24" i="1"/>
  <c r="K34" i="1"/>
  <c r="K47" i="1" s="1"/>
  <c r="M17" i="1"/>
  <c r="M23" i="1" s="1"/>
  <c r="I62" i="1" l="1"/>
  <c r="I61" i="1"/>
  <c r="I60" i="1"/>
  <c r="I63" i="1"/>
  <c r="H64" i="1"/>
  <c r="J42" i="1"/>
  <c r="J52" i="1" s="1"/>
  <c r="K41" i="1"/>
  <c r="K29" i="1"/>
  <c r="K10" i="1" s="1"/>
  <c r="J11" i="1"/>
  <c r="J12" i="1" s="1"/>
  <c r="M96" i="1"/>
  <c r="M9" i="1"/>
  <c r="I95" i="1"/>
  <c r="I77" i="1"/>
  <c r="I72" i="1"/>
  <c r="I74" i="1"/>
  <c r="I73" i="1"/>
  <c r="I67" i="1"/>
  <c r="I81" i="1"/>
  <c r="J36" i="1"/>
  <c r="I68" i="1"/>
  <c r="J51" i="1"/>
  <c r="K26" i="1"/>
  <c r="K39" i="1"/>
  <c r="K35" i="1"/>
  <c r="K53" i="1" s="1"/>
  <c r="L27" i="1"/>
  <c r="L43" i="1"/>
  <c r="L25" i="1"/>
  <c r="L24" i="1"/>
  <c r="L34" i="1"/>
  <c r="L47" i="1" s="1"/>
  <c r="N17" i="1"/>
  <c r="N23" i="1" s="1"/>
  <c r="J61" i="1" l="1"/>
  <c r="J60" i="1"/>
  <c r="J63" i="1"/>
  <c r="J62" i="1"/>
  <c r="I64" i="1"/>
  <c r="K42" i="1"/>
  <c r="K52" i="1" s="1"/>
  <c r="L41" i="1"/>
  <c r="L29" i="1"/>
  <c r="L10" i="1" s="1"/>
  <c r="N96" i="1"/>
  <c r="N9" i="1"/>
  <c r="L39" i="1"/>
  <c r="K11" i="1"/>
  <c r="K12" i="1" s="1"/>
  <c r="J95" i="1"/>
  <c r="J74" i="1"/>
  <c r="J67" i="1"/>
  <c r="J77" i="1"/>
  <c r="J68" i="1"/>
  <c r="J81" i="1"/>
  <c r="J73" i="1"/>
  <c r="J72" i="1"/>
  <c r="K51" i="1"/>
  <c r="L35" i="1"/>
  <c r="L53" i="1" s="1"/>
  <c r="L26" i="1"/>
  <c r="N43" i="1"/>
  <c r="N25" i="1"/>
  <c r="N24" i="1"/>
  <c r="N34" i="1"/>
  <c r="N47" i="1" s="1"/>
  <c r="N27" i="1"/>
  <c r="M43" i="1"/>
  <c r="M25" i="1"/>
  <c r="M24" i="1"/>
  <c r="M34" i="1"/>
  <c r="M47" i="1" s="1"/>
  <c r="M27" i="1"/>
  <c r="K36" i="1"/>
  <c r="K61" i="1" l="1"/>
  <c r="K60" i="1"/>
  <c r="K63" i="1"/>
  <c r="K62" i="1"/>
  <c r="J64" i="1"/>
  <c r="M41" i="1"/>
  <c r="L42" i="1"/>
  <c r="L52" i="1" s="1"/>
  <c r="N41" i="1"/>
  <c r="N29" i="1"/>
  <c r="N10" i="1" s="1"/>
  <c r="M29" i="1"/>
  <c r="M10" i="1" s="1"/>
  <c r="L11" i="1"/>
  <c r="L12" i="1" s="1"/>
  <c r="N39" i="1"/>
  <c r="L51" i="1"/>
  <c r="K95" i="1"/>
  <c r="K81" i="1"/>
  <c r="K72" i="1"/>
  <c r="K68" i="1"/>
  <c r="K77" i="1"/>
  <c r="K67" i="1"/>
  <c r="K74" i="1"/>
  <c r="K73" i="1"/>
  <c r="M26" i="1"/>
  <c r="M39" i="1"/>
  <c r="N26" i="1"/>
  <c r="L36" i="1"/>
  <c r="N35" i="1"/>
  <c r="N53" i="1" s="1"/>
  <c r="M35" i="1"/>
  <c r="M53" i="1" s="1"/>
  <c r="L60" i="1" l="1"/>
  <c r="L61" i="1"/>
  <c r="L63" i="1"/>
  <c r="L62" i="1"/>
  <c r="K64" i="1"/>
  <c r="N42" i="1"/>
  <c r="N52" i="1" s="1"/>
  <c r="M42" i="1"/>
  <c r="M52" i="1" s="1"/>
  <c r="M11" i="1"/>
  <c r="M12" i="1" s="1"/>
  <c r="N11" i="1"/>
  <c r="N12" i="1" s="1"/>
  <c r="N51" i="1"/>
  <c r="L95" i="1"/>
  <c r="L81" i="1"/>
  <c r="L68" i="1"/>
  <c r="L77" i="1"/>
  <c r="L67" i="1"/>
  <c r="L74" i="1"/>
  <c r="L73" i="1"/>
  <c r="L72" i="1"/>
  <c r="M51" i="1"/>
  <c r="M36" i="1"/>
  <c r="N36" i="1"/>
  <c r="N63" i="1" l="1"/>
  <c r="N60" i="1"/>
  <c r="N62" i="1"/>
  <c r="N61" i="1"/>
  <c r="M60" i="1"/>
  <c r="M63" i="1"/>
  <c r="M62" i="1"/>
  <c r="M61" i="1"/>
  <c r="L64" i="1"/>
  <c r="N95" i="1"/>
  <c r="N81" i="1"/>
  <c r="M95" i="1"/>
  <c r="M81" i="1"/>
  <c r="N68" i="1"/>
  <c r="N77" i="1"/>
  <c r="N67" i="1"/>
  <c r="N74" i="1"/>
  <c r="N73" i="1"/>
  <c r="N72" i="1"/>
  <c r="M68" i="1"/>
  <c r="M77" i="1"/>
  <c r="M67" i="1"/>
  <c r="M74" i="1"/>
  <c r="M73" i="1"/>
  <c r="M72" i="1"/>
  <c r="E54" i="1"/>
  <c r="E48" i="1"/>
  <c r="N64" i="1" l="1"/>
  <c r="M64" i="1"/>
  <c r="G54" i="1" l="1"/>
  <c r="G48" i="1"/>
  <c r="H54" i="1" l="1"/>
  <c r="H48" i="1"/>
  <c r="E75" i="1"/>
  <c r="I54" i="1" l="1"/>
  <c r="I48" i="1"/>
  <c r="E69" i="1"/>
  <c r="E79" i="1" s="1"/>
  <c r="E83" i="1" s="1"/>
  <c r="E98" i="1" s="1"/>
  <c r="F75" i="1" l="1"/>
  <c r="J54" i="1"/>
  <c r="J48" i="1"/>
  <c r="F69" i="1"/>
  <c r="F79" i="1" l="1"/>
  <c r="K54" i="1"/>
  <c r="K48" i="1"/>
  <c r="G75" i="1"/>
  <c r="G69" i="1"/>
  <c r="F83" i="1" l="1"/>
  <c r="F98" i="1" s="1"/>
  <c r="H75" i="1"/>
  <c r="H69" i="1"/>
  <c r="G79" i="1"/>
  <c r="G83" i="1" s="1"/>
  <c r="G98" i="1" s="1"/>
  <c r="L54" i="1"/>
  <c r="L48" i="1"/>
  <c r="H79" i="1" l="1"/>
  <c r="I69" i="1"/>
  <c r="M54" i="1"/>
  <c r="M48" i="1"/>
  <c r="I75" i="1"/>
  <c r="J75" i="1"/>
  <c r="H83" i="1" l="1"/>
  <c r="H98" i="1" s="1"/>
  <c r="I79" i="1"/>
  <c r="N54" i="1"/>
  <c r="N48" i="1"/>
  <c r="J69" i="1"/>
  <c r="J79" i="1" s="1"/>
  <c r="J83" i="1" s="1"/>
  <c r="J98" i="1" s="1"/>
  <c r="I83" i="1" l="1"/>
  <c r="I98" i="1" s="1"/>
  <c r="K75" i="1"/>
  <c r="K69" i="1"/>
  <c r="K79" i="1" l="1"/>
  <c r="L75" i="1"/>
  <c r="L69" i="1"/>
  <c r="M75" i="1"/>
  <c r="K83" i="1" l="1"/>
  <c r="K98" i="1" s="1"/>
  <c r="L79" i="1"/>
  <c r="N75" i="1"/>
  <c r="M69" i="1"/>
  <c r="M79" i="1" s="1"/>
  <c r="M83" i="1" s="1"/>
  <c r="M98" i="1" s="1"/>
  <c r="L83" i="1" l="1"/>
  <c r="L98" i="1" s="1"/>
  <c r="N69" i="1"/>
  <c r="N79" i="1" s="1"/>
  <c r="N83" i="1" l="1"/>
  <c r="N84" i="1" l="1"/>
  <c r="N98" i="1" s="1"/>
  <c r="B8" i="1" l="1"/>
  <c r="B9" i="1"/>
</calcChain>
</file>

<file path=xl/sharedStrings.xml><?xml version="1.0" encoding="utf-8"?>
<sst xmlns="http://schemas.openxmlformats.org/spreadsheetml/2006/main" count="793" uniqueCount="425">
  <si>
    <t>Project:</t>
  </si>
  <si>
    <t>IRR</t>
  </si>
  <si>
    <t>Location:</t>
  </si>
  <si>
    <t>Project Type:</t>
  </si>
  <si>
    <t>Days of Operation</t>
  </si>
  <si>
    <t>Number of Bays</t>
  </si>
  <si>
    <t>Average Bay Occupancy</t>
  </si>
  <si>
    <t>Average Daily Bay Rate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</si>
  <si>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</si>
  <si>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</si>
  <si>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</si>
  <si>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</si>
  <si>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</si>
  <si>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</si>
  <si>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</si>
  <si>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</si>
  <si>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</si>
  <si>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</si>
  <si>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</si>
  <si>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</si>
  <si>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REVENUES</t>
  </si>
  <si>
    <t xml:space="preserve">  Bay Revenues</t>
  </si>
  <si>
    <t xml:space="preserve">  Memberships</t>
  </si>
  <si>
    <t>of Bay Rev</t>
  </si>
  <si>
    <t xml:space="preserve">  Sub-Total Golf Revenues</t>
  </si>
  <si>
    <t xml:space="preserve">  Food &amp; Beverage - Leased</t>
  </si>
  <si>
    <t xml:space="preserve">  Food &amp; Beverage</t>
  </si>
  <si>
    <t xml:space="preserve">  VR Arcade</t>
  </si>
  <si>
    <t xml:space="preserve">  Merchandising Store</t>
  </si>
  <si>
    <t xml:space="preserve">  Health Club / Salon</t>
  </si>
  <si>
    <t>Estimate</t>
  </si>
  <si>
    <t xml:space="preserve">  Misc. Revenues</t>
  </si>
  <si>
    <t xml:space="preserve">  Sub-Total Other Revenues</t>
  </si>
  <si>
    <t>TOTAL OPERATIONAL REVENUES</t>
  </si>
  <si>
    <t>DIRECT COSTS</t>
  </si>
  <si>
    <t xml:space="preserve">  Golf Operations</t>
  </si>
  <si>
    <t xml:space="preserve">  F&amp;B Operations</t>
  </si>
  <si>
    <t>of F&amp;B Rev</t>
  </si>
  <si>
    <t xml:space="preserve">  Other Operations</t>
  </si>
  <si>
    <t>DIRECT OPERATIONAL COSTS</t>
  </si>
  <si>
    <t>OPERATING PROFIT</t>
  </si>
  <si>
    <t>OPERATING PROFITS</t>
  </si>
  <si>
    <t>UNDISTRIBUTED COSTS</t>
  </si>
  <si>
    <t>LICENSiNG FEE</t>
  </si>
  <si>
    <t>XRANGE LICENSING FEE</t>
  </si>
  <si>
    <t>SALES &amp; MARKETING</t>
  </si>
  <si>
    <t>Facility Marketing</t>
  </si>
  <si>
    <t>on All Revenues</t>
  </si>
  <si>
    <t>XRange Marketing Fee</t>
  </si>
  <si>
    <t>SALES &amp; MARKETING EXPENSES</t>
  </si>
  <si>
    <t>PROPERTY OPERATIONS</t>
  </si>
  <si>
    <t>Admin &amp; General</t>
  </si>
  <si>
    <t>Property Operations (FM Staff/Utilities)</t>
  </si>
  <si>
    <t>Building Insurance</t>
  </si>
  <si>
    <t>PROPERTY EXPENSES</t>
  </si>
  <si>
    <t>CONTINGENCY</t>
  </si>
  <si>
    <t>GROSS OPERATING PROFIT</t>
  </si>
  <si>
    <t>Management Fee</t>
  </si>
  <si>
    <t>EBITDA</t>
  </si>
  <si>
    <t>Cap Rate</t>
  </si>
  <si>
    <t>TERMINAL VALUE</t>
  </si>
  <si>
    <t>CAPITAL EXPENDITURES</t>
  </si>
  <si>
    <t>TOTAL</t>
  </si>
  <si>
    <t xml:space="preserve">  Land &amp; Infrastructure Costs</t>
  </si>
  <si>
    <t xml:space="preserve">  Design &amp; Management Fee Costs</t>
  </si>
  <si>
    <t xml:space="preserve">  Construction Costs</t>
  </si>
  <si>
    <t xml:space="preserve">  Sales &amp; Marketing </t>
  </si>
  <si>
    <t xml:space="preserve">  Pre-Opening Expenses</t>
  </si>
  <si>
    <t xml:space="preserve">  G&amp;A</t>
  </si>
  <si>
    <t>OVEALL CASH FLOW</t>
  </si>
  <si>
    <t>Revenue Escalation</t>
  </si>
  <si>
    <t>Cost Escalation</t>
  </si>
  <si>
    <t>Stabilization</t>
  </si>
  <si>
    <t>of Academy Revenue</t>
  </si>
  <si>
    <t>of Bay / Member Revenue</t>
  </si>
  <si>
    <t>of Misc. Revenue</t>
  </si>
  <si>
    <t>of Sponsorships</t>
  </si>
  <si>
    <t>of Health Club / Salon</t>
  </si>
  <si>
    <t>of Merchandising</t>
  </si>
  <si>
    <t>of VR Arcade</t>
  </si>
  <si>
    <t xml:space="preserve">  XRange Academy</t>
  </si>
  <si>
    <t>Replacement Reserve - Building</t>
  </si>
  <si>
    <t>Replacement Reserve - XRange Tech</t>
  </si>
  <si>
    <t>on Bay Revenue</t>
  </si>
  <si>
    <t>CAPEX</t>
  </si>
  <si>
    <t>YEAR 1</t>
  </si>
  <si>
    <t>YEAR 2</t>
  </si>
  <si>
    <t>YEAR 3</t>
  </si>
  <si>
    <t>Land &amp; Infr</t>
  </si>
  <si>
    <t>Sales &amp; Marketing</t>
  </si>
  <si>
    <t>Pre-Opening</t>
  </si>
  <si>
    <t>G&amp;A</t>
  </si>
  <si>
    <t>Unescalated</t>
  </si>
  <si>
    <t>NPV @ 10%</t>
  </si>
  <si>
    <t xml:space="preserve"> </t>
  </si>
  <si>
    <t>AED</t>
  </si>
  <si>
    <t>USD</t>
  </si>
  <si>
    <t>Base Hourly Rate (Standard Bay)</t>
  </si>
  <si>
    <t>BAY REVENUE</t>
  </si>
  <si>
    <t># BAYS</t>
  </si>
  <si>
    <t>% OF STANDARD</t>
  </si>
  <si>
    <t>DAILY BAY RATE</t>
  </si>
  <si>
    <t>REV POTENTIAL</t>
  </si>
  <si>
    <t>USAGE</t>
  </si>
  <si>
    <t>REVENUE</t>
  </si>
  <si>
    <t xml:space="preserve">  Mini-Bays</t>
  </si>
  <si>
    <t xml:space="preserve">  Standard Bays</t>
  </si>
  <si>
    <t xml:space="preserve">  Premium Bays</t>
  </si>
  <si>
    <t xml:space="preserve">  Hospitality Bays</t>
  </si>
  <si>
    <t>Currency</t>
  </si>
  <si>
    <t xml:space="preserve">  Initial Fee</t>
  </si>
  <si>
    <t>Hours of Operation</t>
  </si>
  <si>
    <t>CAPEX ASSUMPTIONS</t>
  </si>
  <si>
    <t>XRANGE FLAGSHIP DEVELOPMENT PROFILE</t>
  </si>
  <si>
    <t>DISTINCT USERS</t>
  </si>
  <si>
    <t>HOURS USED PER BAY</t>
  </si>
  <si>
    <t>NUMBER OF XRANGERS</t>
  </si>
  <si>
    <t>Daily</t>
  </si>
  <si>
    <t>Per Annum</t>
  </si>
  <si>
    <t>All Bays</t>
  </si>
  <si>
    <t>Users Per Bay</t>
  </si>
  <si>
    <t>Avg Time (Hrs)</t>
  </si>
  <si>
    <t>Xrangers</t>
  </si>
  <si>
    <t>Per Bay</t>
  </si>
  <si>
    <t xml:space="preserve">  XRange Dining</t>
  </si>
  <si>
    <t>Bay Only</t>
  </si>
  <si>
    <t>F&amp;B Spend</t>
  </si>
  <si>
    <t>Other</t>
  </si>
  <si>
    <t xml:space="preserve">Estimated Distinct Users Per Annum </t>
  </si>
  <si>
    <t>Average Hourly Rate Per Standard Bay (2023)</t>
  </si>
  <si>
    <t xml:space="preserve">  XRange Academy Revenues</t>
  </si>
  <si>
    <t xml:space="preserve">  Sponsorships &amp; Advertising</t>
  </si>
  <si>
    <t xml:space="preserve">  Sponsorshipos &amp; Advertising</t>
  </si>
  <si>
    <t xml:space="preserve">  XRange Technology Servicing Fee</t>
  </si>
  <si>
    <t>Fixed Fee</t>
  </si>
  <si>
    <t>Fees Adj. For Inflation</t>
  </si>
  <si>
    <t>Initial Brand Rights</t>
  </si>
  <si>
    <t>LIMITS</t>
  </si>
  <si>
    <t>Construction Costs + Contingency</t>
  </si>
  <si>
    <t xml:space="preserve">  Performance Fee to $10 million</t>
  </si>
  <si>
    <t xml:space="preserve">  Performance Fee to $15 million</t>
  </si>
  <si>
    <t xml:space="preserve">  Performance Fee for Revenues to $20 million</t>
  </si>
  <si>
    <t xml:space="preserve">  Performance Fee for Revenues &gt; $20 million</t>
  </si>
  <si>
    <t>Fee on Total Rev</t>
  </si>
  <si>
    <t>of Golf Revenue</t>
  </si>
  <si>
    <t>USD Annual Fee Adj. for Inflation</t>
  </si>
  <si>
    <t>Design &amp; XRange Fees</t>
  </si>
  <si>
    <t>SPENDING EXPECTATIONS PER PERSON</t>
  </si>
  <si>
    <t>Specialist Golf Equipment</t>
  </si>
  <si>
    <t xml:space="preserve">  Specialist Golf Equipment Costs</t>
  </si>
  <si>
    <t>XRANGE - BREAKDOWN OF BAY REVENUE BY WEEKDAY/WEEKEND AND PEAK/NON-PEAK</t>
  </si>
  <si>
    <t>SUMMARY</t>
  </si>
  <si>
    <t>BAY REVENUE USAGE &amp; REVENUE ASSUMPTIONS</t>
  </si>
  <si>
    <t>Assumed Hours</t>
  </si>
  <si>
    <t>Weekdays</t>
  </si>
  <si>
    <t>10am to 12am</t>
  </si>
  <si>
    <t>9am to 2am</t>
  </si>
  <si>
    <t>Distribution</t>
  </si>
  <si>
    <t>Total</t>
  </si>
  <si>
    <t>Non-Peak Hours</t>
  </si>
  <si>
    <t>Peak Hours</t>
  </si>
  <si>
    <t>10 AM to 5PM</t>
  </si>
  <si>
    <t>5 PM to 12 AM</t>
  </si>
  <si>
    <t>Weekends</t>
  </si>
  <si>
    <t>9 AM to 5 PM</t>
  </si>
  <si>
    <t>5 PM to 2 AM</t>
  </si>
  <si>
    <t>Non-Escalated</t>
  </si>
  <si>
    <t>Daily Unique Visitors</t>
  </si>
  <si>
    <t>Vis/Day</t>
  </si>
  <si>
    <t>Vis/Bay/Day</t>
  </si>
  <si>
    <t>Bay Revenue</t>
  </si>
  <si>
    <t>Rev/Visitor</t>
  </si>
  <si>
    <t>Weekday Non-Peak</t>
  </si>
  <si>
    <t>Weekday Peak</t>
  </si>
  <si>
    <t>Weekday Discount</t>
  </si>
  <si>
    <t>Weekday</t>
  </si>
  <si>
    <t>Weekend Premium</t>
  </si>
  <si>
    <t>Weekend Non-Peak</t>
  </si>
  <si>
    <t>Daily Non-Peak Discount</t>
  </si>
  <si>
    <t>Weekend Peak</t>
  </si>
  <si>
    <t>Daily Peak Premium</t>
  </si>
  <si>
    <t>Weekend</t>
  </si>
  <si>
    <t>TOTALS</t>
  </si>
  <si>
    <t>Average Base Rates By Time</t>
  </si>
  <si>
    <t>Total Hours / Bay</t>
  </si>
  <si>
    <t>Mini-Bay</t>
  </si>
  <si>
    <t>Standard Bay</t>
  </si>
  <si>
    <t>Premium Bay</t>
  </si>
  <si>
    <t>Hospitality Bay</t>
  </si>
  <si>
    <t>Overall</t>
  </si>
  <si>
    <t>Bay Usage</t>
  </si>
  <si>
    <t>A:  WEEKDAY SUMMARY</t>
  </si>
  <si>
    <t>TOTAL DAYS</t>
  </si>
  <si>
    <t>TOTAL HOURS</t>
  </si>
  <si>
    <t>A.1:  WEEKDAY NON-PEAK</t>
  </si>
  <si>
    <t>NON-PEAK HRS</t>
  </si>
  <si>
    <t>A.2:  WEEKDAY PEAK</t>
  </si>
  <si>
    <t>PEAK HRS</t>
  </si>
  <si>
    <t>B:  WEEKEND SUMMARY</t>
  </si>
  <si>
    <t>B.1:  WEEKEND NON-PEAK</t>
  </si>
  <si>
    <t>NON PEAK HRS</t>
  </si>
  <si>
    <t>B.2:  WEEKEND PEAK</t>
  </si>
  <si>
    <t>BAY REVENUE SUMMARY</t>
  </si>
  <si>
    <t>SEE 'BAY REVENUE' WORKSHEET FOR BUILD-UP OF REVENEUS</t>
  </si>
  <si>
    <t>Peak</t>
  </si>
  <si>
    <t>Non-Peak</t>
  </si>
  <si>
    <t>GROUND FLOOR</t>
  </si>
  <si>
    <t>LOBBY AND PUBLIC CIRCULATION</t>
  </si>
  <si>
    <t>MAIN RESTAURANT</t>
  </si>
  <si>
    <t>TOILETS</t>
  </si>
  <si>
    <t>MINI BAYS - 10 BAYS</t>
  </si>
  <si>
    <t>ADMIN</t>
  </si>
  <si>
    <t>BOH/MEP/KITCHEN</t>
  </si>
  <si>
    <t>VT</t>
  </si>
  <si>
    <t>FIRST FLOOR</t>
  </si>
  <si>
    <t>PUBLIC CIRCULATION</t>
  </si>
  <si>
    <t>STANDARD BAYS - 42 BAYS</t>
  </si>
  <si>
    <t>SECOND FLOOR</t>
  </si>
  <si>
    <t>STANDARD BAYS - 14 BAYS</t>
  </si>
  <si>
    <t>VIP - 4 BAYS</t>
  </si>
  <si>
    <t>VVIP - 2 BAYS</t>
  </si>
  <si>
    <t>EXTERNAL WORKS</t>
  </si>
  <si>
    <t>PARKING / DROP OFF / LOADING AREA</t>
  </si>
  <si>
    <t>THE FIELD</t>
  </si>
  <si>
    <t>m2</t>
  </si>
  <si>
    <t>Hitting Bays</t>
  </si>
  <si>
    <t>VIP / VVIP</t>
  </si>
  <si>
    <t>GIFA</t>
  </si>
  <si>
    <t>MEP Installations</t>
  </si>
  <si>
    <t>Item</t>
  </si>
  <si>
    <t>Kitchen Equipment</t>
  </si>
  <si>
    <t>Not Applicable</t>
  </si>
  <si>
    <t>Main Bar Equipment</t>
  </si>
  <si>
    <t>Specific FFE</t>
  </si>
  <si>
    <t>Bays</t>
  </si>
  <si>
    <t>BOH / MEP / Kitchen</t>
  </si>
  <si>
    <t xml:space="preserve">Administration </t>
  </si>
  <si>
    <t>Amenities</t>
  </si>
  <si>
    <t>Restaurant</t>
  </si>
  <si>
    <t>Lobby / Circulation</t>
  </si>
  <si>
    <t>Fixed FFE</t>
  </si>
  <si>
    <t>Note: Wall / Floor / Ceiling</t>
  </si>
  <si>
    <t>FFE</t>
  </si>
  <si>
    <t>Lift Core</t>
  </si>
  <si>
    <t>VVIP</t>
  </si>
  <si>
    <t>VIP</t>
  </si>
  <si>
    <t>Circulation</t>
  </si>
  <si>
    <t>Level 2</t>
  </si>
  <si>
    <t>Level 1</t>
  </si>
  <si>
    <t>Academy Bays</t>
  </si>
  <si>
    <t>Mini-Bays</t>
  </si>
  <si>
    <t>Ground Floor</t>
  </si>
  <si>
    <t>Finishes</t>
  </si>
  <si>
    <t>Nr</t>
  </si>
  <si>
    <t>Allow for operable walls to VIP / VVIP</t>
  </si>
  <si>
    <t xml:space="preserve">Internal Walls &amp; Doors </t>
  </si>
  <si>
    <t>Branded signage</t>
  </si>
  <si>
    <t>m</t>
  </si>
  <si>
    <t>Fall prevention to L1 &amp; L2</t>
  </si>
  <si>
    <t>Glazed balustrades to L2 Terrace</t>
  </si>
  <si>
    <t>Doors to Terraces / Hitting Bays</t>
  </si>
  <si>
    <t>Main Entrance Doors</t>
  </si>
  <si>
    <t>Curtain Wall To L2 VVIP / VIP</t>
  </si>
  <si>
    <t>Curtain Wall To L1 Circulation</t>
  </si>
  <si>
    <t>Curtain Wall To GF F+B</t>
  </si>
  <si>
    <t>Screens to Hitting Bays</t>
  </si>
  <si>
    <t>Masonry wall with cladding</t>
  </si>
  <si>
    <t>Blockwork with rendered finish</t>
  </si>
  <si>
    <t>Façade</t>
  </si>
  <si>
    <t>Feature Stair G - L2 Terrace</t>
  </si>
  <si>
    <t>Stairs &amp; Ramps</t>
  </si>
  <si>
    <t xml:space="preserve">Soffit treatment </t>
  </si>
  <si>
    <t>Canopy roof to Level 2 Hitting Bays</t>
  </si>
  <si>
    <t>Waterproofing to Level 2 Hitting Bays</t>
  </si>
  <si>
    <t>Waterproofing to Level 1 Hitting Bays</t>
  </si>
  <si>
    <t>Metal roofing system incl. secondary support</t>
  </si>
  <si>
    <t>Suspended roof slab to Level 2</t>
  </si>
  <si>
    <t>Roof</t>
  </si>
  <si>
    <t>Suspended slab to Level 2 Hitting Bays</t>
  </si>
  <si>
    <t>Suspended slab to Level 2</t>
  </si>
  <si>
    <t>Suspended slab to Level 1 Hitting Bays</t>
  </si>
  <si>
    <t>Suspended slab to Level 1</t>
  </si>
  <si>
    <t>Upper Floors</t>
  </si>
  <si>
    <t>No</t>
  </si>
  <si>
    <t>Staircores</t>
  </si>
  <si>
    <t>Columns to Level 2</t>
  </si>
  <si>
    <t>Columns to Level 1</t>
  </si>
  <si>
    <t>Columns to Ground Floor</t>
  </si>
  <si>
    <t>Frame</t>
  </si>
  <si>
    <t>Superstructure</t>
  </si>
  <si>
    <t>Raft slab to Hitting Bays</t>
  </si>
  <si>
    <t>Raft slab to Ground Floor</t>
  </si>
  <si>
    <t>Substructure</t>
  </si>
  <si>
    <t>Rate</t>
  </si>
  <si>
    <t>Unit</t>
  </si>
  <si>
    <t>Quantity</t>
  </si>
  <si>
    <t>Main Facility</t>
  </si>
  <si>
    <t>sm/sf</t>
  </si>
  <si>
    <t>sm</t>
  </si>
  <si>
    <t>sf</t>
  </si>
  <si>
    <t>ACADEMY - 10 BAYS</t>
  </si>
  <si>
    <t>Facility Size</t>
  </si>
  <si>
    <t xml:space="preserve">  Substructure</t>
  </si>
  <si>
    <t xml:space="preserve">  Superstructure</t>
  </si>
  <si>
    <t xml:space="preserve">    Structure</t>
  </si>
  <si>
    <t xml:space="preserve">    Roof</t>
  </si>
  <si>
    <t xml:space="preserve">    Façade</t>
  </si>
  <si>
    <t xml:space="preserve">    Internal Walls &amp; Doors</t>
  </si>
  <si>
    <t xml:space="preserve"> Finishes</t>
  </si>
  <si>
    <t xml:space="preserve"> MEP Installations</t>
  </si>
  <si>
    <t xml:space="preserve">    Stairs &amp; Ramps</t>
  </si>
  <si>
    <t>Preliminaries</t>
  </si>
  <si>
    <t>AED psf GFA</t>
  </si>
  <si>
    <t>Outfield</t>
  </si>
  <si>
    <t>External Works</t>
  </si>
  <si>
    <t>TOTAL FACILITY COST</t>
  </si>
  <si>
    <t>TOTAL NET CONSTRUCTION COSTS</t>
  </si>
  <si>
    <t>TOTAL BASERLINE CONSTRUCTION COSTS</t>
  </si>
  <si>
    <t>XRange Golf Technology</t>
  </si>
  <si>
    <t>Contingency</t>
  </si>
  <si>
    <t>TOTAL HARD COSTS</t>
  </si>
  <si>
    <t xml:space="preserve">  Outfield</t>
  </si>
  <si>
    <t xml:space="preserve">  Exterior Works </t>
  </si>
  <si>
    <t xml:space="preserve">  Preliminaries</t>
  </si>
  <si>
    <t xml:space="preserve">  Contingency</t>
  </si>
  <si>
    <t>HARD COST SUMMARY</t>
  </si>
  <si>
    <t>Total - Base Facility Cost</t>
  </si>
  <si>
    <t>Total - Base Facility Cost with Outfield &amp; External Works</t>
  </si>
  <si>
    <t>Total Facility Cost w/ XRange Technology</t>
  </si>
  <si>
    <t>ASSUMPTIONS</t>
  </si>
  <si>
    <t>TOTAL SOFT COSTS</t>
  </si>
  <si>
    <t>Project Management Costs</t>
  </si>
  <si>
    <t>on XRange Costs</t>
  </si>
  <si>
    <t>on Facility Costs</t>
  </si>
  <si>
    <t xml:space="preserve">XRange Golf &amp; Laser Technology </t>
  </si>
  <si>
    <t>TOTAL TECHNOLOGY ENHANCEMENT</t>
  </si>
  <si>
    <t>FACILITY HARD COST SUMMARY</t>
  </si>
  <si>
    <t>XRANGE TECHNOLOGY COST SUMMARY</t>
  </si>
  <si>
    <t>XRange Tech</t>
  </si>
  <si>
    <t>TOTAL FACILITY HARD COSTS</t>
  </si>
  <si>
    <t>TOTAL XRANGE TECHNOLOGY COSTS</t>
  </si>
  <si>
    <t>SEE 'HARD + SOFT COSTS' WORKSHEET</t>
  </si>
  <si>
    <t xml:space="preserve">   Laser, Golf &amp; Specialist XRange Equipment</t>
  </si>
  <si>
    <t>Design Costs - Facility, Outfield &amp; Grounds (incl. contingency)</t>
  </si>
  <si>
    <t>XRange Integration Fees (incl. in XRange Tech)</t>
  </si>
  <si>
    <t>XRangers</t>
  </si>
  <si>
    <t>Facility Timing</t>
  </si>
  <si>
    <t>Peak / Non-Peak</t>
  </si>
  <si>
    <t>Summary</t>
  </si>
  <si>
    <t>Bay Rev Per Hour</t>
  </si>
  <si>
    <t>Avg Rate - Bay Type</t>
  </si>
  <si>
    <t>XRangers per PEAK weekday</t>
  </si>
  <si>
    <t>XRangers per NON-PEAK weekday</t>
  </si>
  <si>
    <t>XRangers per hour (PEAK weekday)</t>
  </si>
  <si>
    <t>XRangers per hour (NON-PEAK weekday)</t>
  </si>
  <si>
    <t>XRangers per NON-PEAK weekend</t>
  </si>
  <si>
    <t>XRangers per hour (NON-PEAK weekend)</t>
  </si>
  <si>
    <t>XRangers per PEAK weekend</t>
  </si>
  <si>
    <t>XRangers per hour (PEAK weekend)</t>
  </si>
  <si>
    <t>Peak / Non-Peak Adjustments</t>
  </si>
  <si>
    <t>Avg Hourly Rate</t>
  </si>
  <si>
    <t>REV EFFICIENCY</t>
  </si>
  <si>
    <t>PROPERTY OF XRANGE</t>
  </si>
  <si>
    <t xml:space="preserve">Not For Distribution without the express agreement of XRange Management </t>
  </si>
  <si>
    <t>AREA SCHEDULE</t>
  </si>
  <si>
    <t>AED:USD</t>
  </si>
  <si>
    <t>UAE Dirhams</t>
  </si>
  <si>
    <t xml:space="preserve">BASELINE SCENARIO </t>
  </si>
  <si>
    <t>Rental (AED psm)</t>
  </si>
  <si>
    <t>Weekdays (M-T-W-TH)</t>
  </si>
  <si>
    <t>Weekends (F-Sa-Su)</t>
  </si>
  <si>
    <t xml:space="preserve">  Fixed Fee to $5 million</t>
  </si>
  <si>
    <t xml:space="preserve">XRange </t>
  </si>
  <si>
    <t xml:space="preserve">Tracking System </t>
  </si>
  <si>
    <t>Radar</t>
  </si>
  <si>
    <t xml:space="preserve">IT Infrustructure </t>
  </si>
  <si>
    <t xml:space="preserve">Server </t>
  </si>
  <si>
    <t>User Interface</t>
  </si>
  <si>
    <t xml:space="preserve">Control Panels </t>
  </si>
  <si>
    <t xml:space="preserve">Mega Media </t>
  </si>
  <si>
    <t>3D Projection Mapping</t>
  </si>
  <si>
    <t xml:space="preserve">4lg + 4sml Targets </t>
  </si>
  <si>
    <t>XRange</t>
  </si>
  <si>
    <t xml:space="preserve">Total </t>
  </si>
  <si>
    <t>Regional Design Discount</t>
  </si>
  <si>
    <t>XRANGE - SPECIALIST EQUIPMENT &amp; TECH</t>
  </si>
  <si>
    <t>SPECIALIST EQUIPMENT</t>
  </si>
  <si>
    <t>QTY</t>
  </si>
  <si>
    <t>DESCRIPTION OF ITEM</t>
  </si>
  <si>
    <t>Right Hand Club Set</t>
  </si>
  <si>
    <t>COST PER ITEM</t>
  </si>
  <si>
    <t>Left Hand Club Set</t>
  </si>
  <si>
    <t>#</t>
  </si>
  <si>
    <t>TOTAL COST</t>
  </si>
  <si>
    <t>COMMENTS</t>
  </si>
  <si>
    <t>Hopper H50, 50,000 ball cap. </t>
  </si>
  <si>
    <t>Elevator 2.3m hopper </t>
  </si>
  <si>
    <t>Automatic outfeed, Hopper-Blow </t>
  </si>
  <si>
    <t>Hopper H22 extended legs </t>
  </si>
  <si>
    <t>Blower Module 3.0 kW </t>
  </si>
  <si>
    <t>Blowfill manifold </t>
  </si>
  <si>
    <t>Ball stop, complete </t>
  </si>
  <si>
    <t>6Photocell PNP V H&amp;L level 1</t>
  </si>
  <si>
    <t>Holder for photocell H/L ex. </t>
  </si>
  <si>
    <t>photocell </t>
  </si>
  <si>
    <t>Kabel Ölflex </t>
  </si>
  <si>
    <t xml:space="preserve">   System Control Filling max </t>
  </si>
  <si>
    <t xml:space="preserve">   Ball Transportation cart inc. Ball Feeding </t>
  </si>
  <si>
    <t xml:space="preserve">   Soaker 4000 </t>
  </si>
  <si>
    <t xml:space="preserve">   Ball Washer</t>
  </si>
  <si>
    <t xml:space="preserve">   Ball Picker Maxi Multiflex </t>
  </si>
  <si>
    <t xml:space="preserve">   Hose for blower system </t>
  </si>
  <si>
    <t xml:space="preserve">   Connector pipe,Blower hose com </t>
  </si>
  <si>
    <t xml:space="preserve">   Tee Box Mats </t>
  </si>
  <si>
    <t xml:space="preserve">   Tee Box Gen 4</t>
  </si>
  <si>
    <t>Kids Right Hand Club Set</t>
  </si>
  <si>
    <t>Kids Left Hand Club Set</t>
  </si>
  <si>
    <t>12 Club Set - Branded</t>
  </si>
  <si>
    <t>12 Club Branded Set - Branded</t>
  </si>
  <si>
    <t>Golf Balls</t>
  </si>
  <si>
    <t>130 000</t>
  </si>
  <si>
    <t>Branded Golf Balls</t>
  </si>
  <si>
    <t>SENSITIVITY</t>
  </si>
  <si>
    <t>Base Case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</si>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</sst>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0.0%"/>
    <numFmt numFmtId="165" formatCode="#,##0\ &quot;sm&quot;"/>
    <numFmt numFmtId="166" formatCode="#,##0.0000000"/>
    <numFmt numFmtId="167" formatCode="#,##0.0"/>
    <numFmt numFmtId="168" formatCode="0.0"/>
    <numFmt numFmtId="169" formatCode="#,##0\ &quot;XRangers&quot;"/>
    <numFmt numFmtId="170" formatCode="_(* #,##0_);_(* \(#,##0\);_(* &quot;-&quot;??_);_(@_)"/>
    <numFmt numFmtId="171" formatCode="&quot;US$ &quot;#,##0"/>
    <numFmt numFmtId="172" formatCode="&quot;$ &quot;#,##0"/>
    <numFmt numFmtId="173" formatCode="General\ &quot;per week&quot;"/>
    <numFmt numFmtId="174" formatCode="General\ &quot;days&quot;"/>
    <numFmt numFmtId="175" formatCode="General\ &quot;Days&quot;"/>
    <numFmt numFmtId="176" formatCode="#,##0\ &quot;Hours&quot;"/>
    <numFmt numFmtId="177" formatCode="General\ &quot;hrs / day&quot;"/>
    <numFmt numFmtId="178" formatCode="General\ &quot;hrs non-peak&quot;"/>
    <numFmt numFmtId="179" formatCode="General\ &quot;hrs peak&quot;"/>
    <numFmt numFmtId="180" formatCode="#,##0\ &quot;sf&quot;"/>
    <numFmt numFmtId="181" formatCode="#,##0\ &quot;AED&quot;"/>
  </numFmts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373">
    <xf numFmtId="0" fontId="0" fillId="0" borderId="0" xfId="0"/>
    <xf numFmtId="15" fontId="6" fillId="0" borderId="0" xfId="0" applyNumberFormat="1" applyFont="1"/>
    <xf numFmtId="0" fontId="4" fillId="0" borderId="0" xfId="0" applyFont="1"/>
    <xf numFmtId="3" fontId="0" fillId="0" borderId="0" xfId="0" applyNumberFormat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0" fillId="3" borderId="0" xfId="0" applyFill="1"/>
    <xf numFmtId="3" fontId="4" fillId="0" borderId="0" xfId="0" applyNumberFormat="1" applyFont="1"/>
    <xf numFmtId="9" fontId="0" fillId="0" borderId="0" xfId="0" applyNumberFormat="1"/>
    <xf numFmtId="0" fontId="3" fillId="5" borderId="0" xfId="0" applyFont="1" applyFill="1"/>
    <xf numFmtId="0" fontId="5" fillId="5" borderId="0" xfId="0" applyFont="1" applyFill="1"/>
    <xf numFmtId="3" fontId="3" fillId="5" borderId="0" xfId="0" applyNumberFormat="1" applyFont="1" applyFill="1"/>
    <xf numFmtId="0" fontId="3" fillId="2" borderId="0" xfId="0" applyFont="1" applyFill="1"/>
    <xf numFmtId="3" fontId="5" fillId="2" borderId="0" xfId="0" applyNumberFormat="1" applyFont="1" applyFill="1"/>
    <xf numFmtId="3" fontId="3" fillId="2" borderId="0" xfId="0" applyNumberFormat="1" applyFont="1" applyFill="1"/>
    <xf numFmtId="9" fontId="5" fillId="2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0" fillId="6" borderId="0" xfId="0" applyFill="1"/>
    <xf numFmtId="3" fontId="0" fillId="6" borderId="0" xfId="0" applyNumberFormat="1" applyFill="1" applyAlignment="1">
      <alignment horizontal="center"/>
    </xf>
    <xf numFmtId="0" fontId="3" fillId="2" borderId="1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3" fontId="0" fillId="6" borderId="5" xfId="0" applyNumberFormat="1" applyFill="1" applyBorder="1"/>
    <xf numFmtId="3" fontId="0" fillId="4" borderId="6" xfId="0" applyNumberFormat="1" applyFill="1" applyBorder="1" applyAlignment="1">
      <alignment horizontal="center"/>
    </xf>
    <xf numFmtId="0" fontId="0" fillId="6" borderId="5" xfId="0" applyFill="1" applyBorder="1"/>
    <xf numFmtId="0" fontId="3" fillId="2" borderId="8" xfId="0" applyFont="1" applyFill="1" applyBorder="1"/>
    <xf numFmtId="3" fontId="3" fillId="2" borderId="9" xfId="0" applyNumberFormat="1" applyFont="1" applyFill="1" applyBorder="1" applyAlignment="1">
      <alignment horizontal="center"/>
    </xf>
    <xf numFmtId="3" fontId="3" fillId="2" borderId="10" xfId="0" applyNumberFormat="1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0" fontId="8" fillId="0" borderId="0" xfId="0" applyFont="1"/>
    <xf numFmtId="9" fontId="0" fillId="0" borderId="0" xfId="2" applyFont="1"/>
    <xf numFmtId="9" fontId="0" fillId="7" borderId="0" xfId="2" applyFont="1" applyFill="1" applyBorder="1" applyAlignment="1">
      <alignment horizontal="center"/>
    </xf>
    <xf numFmtId="9" fontId="0" fillId="7" borderId="7" xfId="2" applyFont="1" applyFill="1" applyBorder="1" applyAlignment="1">
      <alignment horizontal="center"/>
    </xf>
    <xf numFmtId="3" fontId="0" fillId="7" borderId="0" xfId="0" applyNumberFormat="1" applyFill="1"/>
    <xf numFmtId="164" fontId="0" fillId="7" borderId="0" xfId="0" applyNumberFormat="1" applyFill="1" applyAlignment="1">
      <alignment horizontal="center"/>
    </xf>
    <xf numFmtId="37" fontId="0" fillId="7" borderId="0" xfId="1" applyNumberFormat="1" applyFont="1" applyFill="1" applyBorder="1" applyAlignment="1">
      <alignment horizontal="center"/>
    </xf>
    <xf numFmtId="164" fontId="0" fillId="7" borderId="0" xfId="2" applyNumberFormat="1" applyFont="1" applyFill="1" applyBorder="1" applyAlignment="1">
      <alignment horizontal="center"/>
    </xf>
    <xf numFmtId="166" fontId="0" fillId="0" borderId="0" xfId="0" applyNumberFormat="1"/>
    <xf numFmtId="164" fontId="4" fillId="6" borderId="4" xfId="0" applyNumberFormat="1" applyFont="1" applyFill="1" applyBorder="1" applyAlignment="1">
      <alignment horizontal="center"/>
    </xf>
    <xf numFmtId="37" fontId="4" fillId="6" borderId="11" xfId="1" applyNumberFormat="1" applyFont="1" applyFill="1" applyBorder="1" applyAlignment="1">
      <alignment horizontal="center"/>
    </xf>
    <xf numFmtId="0" fontId="0" fillId="7" borderId="4" xfId="0" applyFill="1" applyBorder="1"/>
    <xf numFmtId="0" fontId="0" fillId="7" borderId="7" xfId="0" applyFill="1" applyBorder="1"/>
    <xf numFmtId="0" fontId="0" fillId="7" borderId="11" xfId="0" applyFill="1" applyBorder="1"/>
    <xf numFmtId="0" fontId="3" fillId="2" borderId="5" xfId="0" applyFont="1" applyFill="1" applyBorder="1"/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3" fontId="0" fillId="0" borderId="15" xfId="0" applyNumberFormat="1" applyBorder="1" applyAlignment="1">
      <alignment horizontal="center"/>
    </xf>
    <xf numFmtId="0" fontId="4" fillId="0" borderId="12" xfId="0" applyFont="1" applyBorder="1"/>
    <xf numFmtId="0" fontId="0" fillId="0" borderId="13" xfId="0" applyBorder="1"/>
    <xf numFmtId="0" fontId="4" fillId="7" borderId="14" xfId="0" applyFont="1" applyFill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6" borderId="5" xfId="0" applyFont="1" applyFill="1" applyBorder="1"/>
    <xf numFmtId="0" fontId="4" fillId="6" borderId="6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9" fontId="0" fillId="7" borderId="6" xfId="0" applyNumberFormat="1" applyFill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5" fillId="2" borderId="9" xfId="0" applyFont="1" applyFill="1" applyBorder="1"/>
    <xf numFmtId="164" fontId="3" fillId="2" borderId="9" xfId="0" applyNumberFormat="1" applyFont="1" applyFill="1" applyBorder="1" applyAlignment="1">
      <alignment horizontal="center"/>
    </xf>
    <xf numFmtId="3" fontId="3" fillId="2" borderId="16" xfId="0" applyNumberFormat="1" applyFont="1" applyFill="1" applyBorder="1" applyAlignment="1">
      <alignment horizontal="center"/>
    </xf>
    <xf numFmtId="3" fontId="3" fillId="2" borderId="19" xfId="0" applyNumberFormat="1" applyFont="1" applyFill="1" applyBorder="1" applyAlignment="1">
      <alignment horizontal="center"/>
    </xf>
    <xf numFmtId="37" fontId="2" fillId="7" borderId="0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7" borderId="14" xfId="0" applyFill="1" applyBorder="1" applyAlignment="1">
      <alignment horizontal="center"/>
    </xf>
    <xf numFmtId="0" fontId="4" fillId="6" borderId="0" xfId="0" applyFont="1" applyFill="1"/>
    <xf numFmtId="0" fontId="3" fillId="2" borderId="22" xfId="0" applyFont="1" applyFill="1" applyBorder="1" applyAlignment="1">
      <alignment horizontal="center"/>
    </xf>
    <xf numFmtId="0" fontId="4" fillId="6" borderId="23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167" fontId="4" fillId="6" borderId="24" xfId="0" applyNumberFormat="1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167" fontId="0" fillId="0" borderId="5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68" fontId="0" fillId="0" borderId="0" xfId="0" applyNumberFormat="1"/>
    <xf numFmtId="0" fontId="3" fillId="2" borderId="26" xfId="0" applyFont="1" applyFill="1" applyBorder="1" applyAlignment="1">
      <alignment horizontal="center"/>
    </xf>
    <xf numFmtId="167" fontId="3" fillId="2" borderId="8" xfId="0" applyNumberFormat="1" applyFont="1" applyFill="1" applyBorder="1" applyAlignment="1">
      <alignment horizontal="center"/>
    </xf>
    <xf numFmtId="3" fontId="3" fillId="2" borderId="27" xfId="0" applyNumberFormat="1" applyFont="1" applyFill="1" applyBorder="1" applyAlignment="1">
      <alignment horizontal="center"/>
    </xf>
    <xf numFmtId="167" fontId="3" fillId="2" borderId="28" xfId="0" applyNumberFormat="1" applyFont="1" applyFill="1" applyBorder="1" applyAlignment="1">
      <alignment horizontal="center"/>
    </xf>
    <xf numFmtId="169" fontId="4" fillId="6" borderId="4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5" fillId="2" borderId="8" xfId="0" applyFont="1" applyFill="1" applyBorder="1"/>
    <xf numFmtId="3" fontId="0" fillId="0" borderId="0" xfId="0" applyNumberFormat="1" applyAlignment="1">
      <alignment horizontal="center"/>
    </xf>
    <xf numFmtId="170" fontId="4" fillId="0" borderId="0" xfId="1" applyNumberFormat="1" applyFont="1"/>
    <xf numFmtId="171" fontId="0" fillId="7" borderId="0" xfId="1" applyNumberFormat="1" applyFont="1" applyFill="1" applyBorder="1" applyAlignment="1">
      <alignment horizontal="center"/>
    </xf>
    <xf numFmtId="165" fontId="0" fillId="7" borderId="0" xfId="0" applyNumberFormat="1" applyFill="1"/>
    <xf numFmtId="0" fontId="0" fillId="0" borderId="0" xfId="0" applyAlignment="1">
      <alignment horizontal="center"/>
    </xf>
    <xf numFmtId="172" fontId="0" fillId="7" borderId="0" xfId="0" applyNumberFormat="1" applyFill="1" applyAlignment="1">
      <alignment horizontal="center"/>
    </xf>
    <xf numFmtId="0" fontId="4" fillId="0" borderId="0" xfId="0" applyFont="1" applyAlignment="1">
      <alignment horizontal="center"/>
    </xf>
    <xf numFmtId="9" fontId="0" fillId="8" borderId="6" xfId="0" applyNumberFormat="1" applyFill="1" applyBorder="1" applyAlignment="1">
      <alignment horizontal="center"/>
    </xf>
    <xf numFmtId="3" fontId="0" fillId="8" borderId="6" xfId="0" applyNumberFormat="1" applyFill="1" applyBorder="1" applyAlignment="1">
      <alignment horizontal="center"/>
    </xf>
    <xf numFmtId="164" fontId="0" fillId="8" borderId="6" xfId="0" applyNumberFormat="1" applyFill="1" applyBorder="1" applyAlignment="1">
      <alignment horizontal="center"/>
    </xf>
    <xf numFmtId="167" fontId="0" fillId="0" borderId="25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0" fontId="3" fillId="9" borderId="0" xfId="0" applyFont="1" applyFill="1"/>
    <xf numFmtId="0" fontId="0" fillId="9" borderId="0" xfId="0" applyFill="1"/>
    <xf numFmtId="0" fontId="0" fillId="0" borderId="29" xfId="0" applyBorder="1"/>
    <xf numFmtId="0" fontId="0" fillId="0" borderId="31" xfId="0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32" xfId="0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8" borderId="29" xfId="0" applyFill="1" applyBorder="1"/>
    <xf numFmtId="3" fontId="0" fillId="8" borderId="35" xfId="0" applyNumberFormat="1" applyFill="1" applyBorder="1" applyAlignment="1">
      <alignment horizontal="center"/>
    </xf>
    <xf numFmtId="168" fontId="0" fillId="8" borderId="35" xfId="0" applyNumberFormat="1" applyFill="1" applyBorder="1" applyAlignment="1">
      <alignment horizontal="center"/>
    </xf>
    <xf numFmtId="3" fontId="0" fillId="8" borderId="30" xfId="0" applyNumberFormat="1" applyFill="1" applyBorder="1" applyAlignment="1">
      <alignment horizontal="center"/>
    </xf>
    <xf numFmtId="0" fontId="0" fillId="8" borderId="31" xfId="0" applyFill="1" applyBorder="1"/>
    <xf numFmtId="3" fontId="0" fillId="8" borderId="0" xfId="0" applyNumberFormat="1" applyFill="1" applyAlignment="1">
      <alignment horizontal="center"/>
    </xf>
    <xf numFmtId="168" fontId="0" fillId="8" borderId="0" xfId="0" applyNumberFormat="1" applyFill="1" applyAlignment="1">
      <alignment horizontal="center"/>
    </xf>
    <xf numFmtId="3" fontId="0" fillId="8" borderId="25" xfId="0" applyNumberFormat="1" applyFill="1" applyBorder="1" applyAlignment="1">
      <alignment horizontal="center"/>
    </xf>
    <xf numFmtId="0" fontId="0" fillId="0" borderId="36" xfId="0" applyBorder="1"/>
    <xf numFmtId="164" fontId="0" fillId="7" borderId="30" xfId="0" applyNumberFormat="1" applyFill="1" applyBorder="1" applyAlignment="1">
      <alignment horizontal="center"/>
    </xf>
    <xf numFmtId="0" fontId="4" fillId="10" borderId="31" xfId="0" applyFont="1" applyFill="1" applyBorder="1"/>
    <xf numFmtId="3" fontId="4" fillId="10" borderId="0" xfId="0" applyNumberFormat="1" applyFont="1" applyFill="1" applyAlignment="1">
      <alignment horizontal="center"/>
    </xf>
    <xf numFmtId="168" fontId="4" fillId="10" borderId="0" xfId="0" applyNumberFormat="1" applyFont="1" applyFill="1" applyAlignment="1">
      <alignment horizontal="center"/>
    </xf>
    <xf numFmtId="3" fontId="4" fillId="10" borderId="25" xfId="0" applyNumberFormat="1" applyFont="1" applyFill="1" applyBorder="1" applyAlignment="1">
      <alignment horizontal="center"/>
    </xf>
    <xf numFmtId="0" fontId="0" fillId="0" borderId="6" xfId="0" applyBorder="1"/>
    <xf numFmtId="164" fontId="0" fillId="7" borderId="25" xfId="0" applyNumberFormat="1" applyFill="1" applyBorder="1" applyAlignment="1">
      <alignment horizontal="center"/>
    </xf>
    <xf numFmtId="0" fontId="0" fillId="0" borderId="37" xfId="0" applyBorder="1"/>
    <xf numFmtId="164" fontId="0" fillId="7" borderId="33" xfId="0" applyNumberFormat="1" applyFill="1" applyBorder="1" applyAlignment="1">
      <alignment horizontal="center"/>
    </xf>
    <xf numFmtId="0" fontId="4" fillId="8" borderId="29" xfId="0" applyFont="1" applyFill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164" fontId="0" fillId="7" borderId="29" xfId="0" applyNumberFormat="1" applyFill="1" applyBorder="1" applyAlignment="1">
      <alignment horizontal="center"/>
    </xf>
    <xf numFmtId="164" fontId="0" fillId="7" borderId="35" xfId="0" applyNumberFormat="1" applyFill="1" applyBorder="1" applyAlignment="1">
      <alignment horizontal="center"/>
    </xf>
    <xf numFmtId="164" fontId="0" fillId="8" borderId="30" xfId="0" applyNumberFormat="1" applyFill="1" applyBorder="1" applyAlignment="1">
      <alignment horizontal="center"/>
    </xf>
    <xf numFmtId="0" fontId="0" fillId="0" borderId="31" xfId="0" applyBorder="1"/>
    <xf numFmtId="0" fontId="4" fillId="8" borderId="31" xfId="0" applyFont="1" applyFill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164" fontId="0" fillId="7" borderId="31" xfId="0" applyNumberFormat="1" applyFill="1" applyBorder="1" applyAlignment="1">
      <alignment horizontal="center"/>
    </xf>
    <xf numFmtId="164" fontId="0" fillId="8" borderId="25" xfId="0" applyNumberFormat="1" applyFill="1" applyBorder="1" applyAlignment="1">
      <alignment horizontal="center"/>
    </xf>
    <xf numFmtId="0" fontId="0" fillId="0" borderId="32" xfId="0" applyBorder="1"/>
    <xf numFmtId="0" fontId="4" fillId="8" borderId="32" xfId="0" applyFont="1" applyFill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164" fontId="0" fillId="7" borderId="32" xfId="0" applyNumberFormat="1" applyFill="1" applyBorder="1" applyAlignment="1">
      <alignment horizontal="center"/>
    </xf>
    <xf numFmtId="164" fontId="0" fillId="7" borderId="34" xfId="0" applyNumberFormat="1" applyFill="1" applyBorder="1" applyAlignment="1">
      <alignment horizontal="center"/>
    </xf>
    <xf numFmtId="164" fontId="0" fillId="8" borderId="33" xfId="0" applyNumberFormat="1" applyFill="1" applyBorder="1" applyAlignment="1">
      <alignment horizontal="center"/>
    </xf>
    <xf numFmtId="0" fontId="8" fillId="0" borderId="0" xfId="0" applyFont="1" applyAlignment="1">
      <alignment horizontal="center"/>
    </xf>
    <xf numFmtId="3" fontId="0" fillId="8" borderId="31" xfId="0" applyNumberFormat="1" applyFill="1" applyBorder="1" applyAlignment="1">
      <alignment horizontal="center"/>
    </xf>
    <xf numFmtId="0" fontId="3" fillId="11" borderId="0" xfId="0" applyFont="1" applyFill="1"/>
    <xf numFmtId="0" fontId="5" fillId="11" borderId="0" xfId="0" applyFont="1" applyFill="1" applyAlignment="1">
      <alignment horizontal="center"/>
    </xf>
    <xf numFmtId="175" fontId="5" fillId="11" borderId="0" xfId="0" applyNumberFormat="1" applyFont="1" applyFill="1" applyAlignment="1">
      <alignment horizontal="center"/>
    </xf>
    <xf numFmtId="176" fontId="5" fillId="11" borderId="0" xfId="0" applyNumberFormat="1" applyFont="1" applyFill="1" applyAlignment="1">
      <alignment horizontal="center"/>
    </xf>
    <xf numFmtId="177" fontId="5" fillId="11" borderId="0" xfId="0" applyNumberFormat="1" applyFont="1" applyFill="1" applyAlignment="1">
      <alignment horizontal="center"/>
    </xf>
    <xf numFmtId="178" fontId="5" fillId="11" borderId="0" xfId="0" applyNumberFormat="1" applyFont="1" applyFill="1" applyAlignment="1">
      <alignment horizontal="right"/>
    </xf>
    <xf numFmtId="179" fontId="5" fillId="11" borderId="0" xfId="0" applyNumberFormat="1" applyFont="1" applyFill="1"/>
    <xf numFmtId="3" fontId="5" fillId="11" borderId="0" xfId="0" applyNumberFormat="1" applyFont="1" applyFill="1"/>
    <xf numFmtId="175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9" fontId="0" fillId="0" borderId="0" xfId="0" applyNumberFormat="1"/>
    <xf numFmtId="0" fontId="0" fillId="8" borderId="17" xfId="0" applyFill="1" applyBorder="1" applyAlignment="1">
      <alignment horizontal="center"/>
    </xf>
    <xf numFmtId="0" fontId="3" fillId="12" borderId="1" xfId="0" applyFont="1" applyFill="1" applyBorder="1"/>
    <xf numFmtId="0" fontId="3" fillId="12" borderId="2" xfId="0" applyFon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3" fillId="12" borderId="8" xfId="0" applyFont="1" applyFill="1" applyBorder="1"/>
    <xf numFmtId="0" fontId="3" fillId="12" borderId="9" xfId="0" applyFont="1" applyFill="1" applyBorder="1" applyAlignment="1">
      <alignment horizontal="center"/>
    </xf>
    <xf numFmtId="0" fontId="5" fillId="12" borderId="9" xfId="0" applyFont="1" applyFill="1" applyBorder="1"/>
    <xf numFmtId="3" fontId="3" fillId="12" borderId="9" xfId="0" applyNumberFormat="1" applyFont="1" applyFill="1" applyBorder="1" applyAlignment="1">
      <alignment horizontal="center"/>
    </xf>
    <xf numFmtId="164" fontId="3" fillId="12" borderId="9" xfId="0" applyNumberFormat="1" applyFont="1" applyFill="1" applyBorder="1" applyAlignment="1">
      <alignment horizontal="center"/>
    </xf>
    <xf numFmtId="3" fontId="3" fillId="12" borderId="16" xfId="0" applyNumberFormat="1" applyFont="1" applyFill="1" applyBorder="1" applyAlignment="1">
      <alignment horizontal="center"/>
    </xf>
    <xf numFmtId="3" fontId="3" fillId="12" borderId="19" xfId="0" applyNumberFormat="1" applyFont="1" applyFill="1" applyBorder="1" applyAlignment="1">
      <alignment horizontal="center"/>
    </xf>
    <xf numFmtId="3" fontId="3" fillId="12" borderId="27" xfId="0" applyNumberFormat="1" applyFont="1" applyFill="1" applyBorder="1" applyAlignment="1">
      <alignment horizontal="center"/>
    </xf>
    <xf numFmtId="3" fontId="3" fillId="12" borderId="11" xfId="0" applyNumberFormat="1" applyFont="1" applyFill="1" applyBorder="1" applyAlignment="1">
      <alignment horizontal="center"/>
    </xf>
    <xf numFmtId="167" fontId="3" fillId="12" borderId="28" xfId="0" applyNumberFormat="1" applyFont="1" applyFill="1" applyBorder="1" applyAlignment="1">
      <alignment horizontal="center"/>
    </xf>
    <xf numFmtId="0" fontId="3" fillId="13" borderId="0" xfId="0" applyFont="1" applyFill="1"/>
    <xf numFmtId="0" fontId="5" fillId="13" borderId="0" xfId="0" applyFont="1" applyFill="1" applyAlignment="1">
      <alignment horizontal="center"/>
    </xf>
    <xf numFmtId="175" fontId="5" fillId="13" borderId="0" xfId="0" applyNumberFormat="1" applyFont="1" applyFill="1" applyAlignment="1">
      <alignment horizontal="center"/>
    </xf>
    <xf numFmtId="176" fontId="5" fillId="13" borderId="0" xfId="0" applyNumberFormat="1" applyFont="1" applyFill="1" applyAlignment="1">
      <alignment horizontal="center"/>
    </xf>
    <xf numFmtId="177" fontId="5" fillId="13" borderId="0" xfId="0" applyNumberFormat="1" applyFont="1" applyFill="1" applyAlignment="1">
      <alignment horizontal="center"/>
    </xf>
    <xf numFmtId="178" fontId="5" fillId="13" borderId="0" xfId="0" applyNumberFormat="1" applyFont="1" applyFill="1" applyAlignment="1">
      <alignment horizontal="right"/>
    </xf>
    <xf numFmtId="179" fontId="5" fillId="13" borderId="0" xfId="0" applyNumberFormat="1" applyFont="1" applyFill="1"/>
    <xf numFmtId="3" fontId="5" fillId="13" borderId="0" xfId="0" applyNumberFormat="1" applyFont="1" applyFill="1"/>
    <xf numFmtId="0" fontId="3" fillId="14" borderId="1" xfId="0" applyFont="1" applyFill="1" applyBorder="1"/>
    <xf numFmtId="0" fontId="3" fillId="14" borderId="2" xfId="0" applyFont="1" applyFill="1" applyBorder="1" applyAlignment="1">
      <alignment horizontal="center"/>
    </xf>
    <xf numFmtId="0" fontId="3" fillId="14" borderId="8" xfId="0" applyFont="1" applyFill="1" applyBorder="1"/>
    <xf numFmtId="0" fontId="3" fillId="14" borderId="9" xfId="0" applyFont="1" applyFill="1" applyBorder="1" applyAlignment="1">
      <alignment horizontal="center"/>
    </xf>
    <xf numFmtId="0" fontId="5" fillId="14" borderId="9" xfId="0" applyFont="1" applyFill="1" applyBorder="1"/>
    <xf numFmtId="3" fontId="3" fillId="14" borderId="9" xfId="0" applyNumberFormat="1" applyFont="1" applyFill="1" applyBorder="1" applyAlignment="1">
      <alignment horizontal="center"/>
    </xf>
    <xf numFmtId="164" fontId="3" fillId="14" borderId="9" xfId="0" applyNumberFormat="1" applyFont="1" applyFill="1" applyBorder="1" applyAlignment="1">
      <alignment horizontal="center"/>
    </xf>
    <xf numFmtId="3" fontId="3" fillId="14" borderId="16" xfId="0" applyNumberFormat="1" applyFont="1" applyFill="1" applyBorder="1" applyAlignment="1">
      <alignment horizontal="center"/>
    </xf>
    <xf numFmtId="3" fontId="3" fillId="14" borderId="19" xfId="0" applyNumberFormat="1" applyFont="1" applyFill="1" applyBorder="1" applyAlignment="1">
      <alignment horizontal="center"/>
    </xf>
    <xf numFmtId="3" fontId="3" fillId="14" borderId="27" xfId="0" applyNumberFormat="1" applyFont="1" applyFill="1" applyBorder="1" applyAlignment="1">
      <alignment horizontal="center"/>
    </xf>
    <xf numFmtId="3" fontId="3" fillId="14" borderId="11" xfId="0" applyNumberFormat="1" applyFont="1" applyFill="1" applyBorder="1" applyAlignment="1">
      <alignment horizontal="center"/>
    </xf>
    <xf numFmtId="167" fontId="3" fillId="14" borderId="28" xfId="0" applyNumberFormat="1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2" fontId="0" fillId="8" borderId="14" xfId="0" applyNumberForma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167" fontId="0" fillId="8" borderId="6" xfId="0" applyNumberFormat="1" applyFill="1" applyBorder="1" applyAlignment="1">
      <alignment horizontal="center"/>
    </xf>
    <xf numFmtId="0" fontId="11" fillId="0" borderId="10" xfId="3" applyFont="1" applyBorder="1"/>
    <xf numFmtId="0" fontId="10" fillId="0" borderId="0" xfId="3"/>
    <xf numFmtId="4" fontId="10" fillId="0" borderId="0" xfId="3" applyNumberFormat="1"/>
    <xf numFmtId="0" fontId="10" fillId="0" borderId="10" xfId="3" applyBorder="1"/>
    <xf numFmtId="0" fontId="11" fillId="0" borderId="0" xfId="3" applyFont="1"/>
    <xf numFmtId="3" fontId="10" fillId="0" borderId="0" xfId="3" applyNumberFormat="1" applyAlignment="1">
      <alignment horizontal="center"/>
    </xf>
    <xf numFmtId="3" fontId="11" fillId="15" borderId="0" xfId="3" applyNumberFormat="1" applyFont="1" applyFill="1" applyAlignment="1">
      <alignment horizontal="center"/>
    </xf>
    <xf numFmtId="3" fontId="10" fillId="15" borderId="0" xfId="3" applyNumberFormat="1" applyFill="1" applyAlignment="1">
      <alignment horizontal="center"/>
    </xf>
    <xf numFmtId="0" fontId="11" fillId="15" borderId="0" xfId="3" applyFont="1" applyFill="1" applyAlignment="1">
      <alignment horizontal="left"/>
    </xf>
    <xf numFmtId="0" fontId="10" fillId="0" borderId="0" xfId="3" applyAlignment="1">
      <alignment horizontal="left" indent="3"/>
    </xf>
    <xf numFmtId="0" fontId="12" fillId="0" borderId="0" xfId="3" applyFont="1" applyAlignment="1">
      <alignment horizontal="left" indent="1"/>
    </xf>
    <xf numFmtId="0" fontId="13" fillId="0" borderId="0" xfId="3" applyFont="1" applyAlignment="1">
      <alignment horizontal="left"/>
    </xf>
    <xf numFmtId="4" fontId="10" fillId="7" borderId="0" xfId="3" applyNumberFormat="1" applyFill="1"/>
    <xf numFmtId="3" fontId="10" fillId="0" borderId="0" xfId="3" applyNumberFormat="1"/>
    <xf numFmtId="4" fontId="10" fillId="0" borderId="10" xfId="3" applyNumberFormat="1" applyBorder="1" applyAlignment="1">
      <alignment horizontal="center"/>
    </xf>
    <xf numFmtId="167" fontId="10" fillId="0" borderId="0" xfId="3" applyNumberFormat="1" applyAlignment="1">
      <alignment horizontal="center"/>
    </xf>
    <xf numFmtId="167" fontId="10" fillId="0" borderId="10" xfId="3" applyNumberFormat="1" applyBorder="1" applyAlignment="1">
      <alignment horizontal="center"/>
    </xf>
    <xf numFmtId="167" fontId="11" fillId="0" borderId="0" xfId="3" applyNumberFormat="1" applyFont="1" applyAlignment="1">
      <alignment horizontal="center"/>
    </xf>
    <xf numFmtId="3" fontId="11" fillId="0" borderId="0" xfId="3" applyNumberFormat="1" applyFont="1" applyAlignment="1">
      <alignment horizontal="center"/>
    </xf>
    <xf numFmtId="3" fontId="10" fillId="7" borderId="0" xfId="3" applyNumberFormat="1" applyFill="1" applyAlignment="1">
      <alignment horizontal="center"/>
    </xf>
    <xf numFmtId="0" fontId="13" fillId="0" borderId="0" xfId="3" applyFont="1"/>
    <xf numFmtId="3" fontId="13" fillId="0" borderId="0" xfId="3" applyNumberFormat="1" applyFont="1" applyAlignment="1">
      <alignment horizontal="center"/>
    </xf>
    <xf numFmtId="0" fontId="11" fillId="16" borderId="0" xfId="3" applyFont="1" applyFill="1"/>
    <xf numFmtId="3" fontId="10" fillId="16" borderId="0" xfId="3" applyNumberFormat="1" applyFill="1" applyAlignment="1">
      <alignment horizontal="center"/>
    </xf>
    <xf numFmtId="3" fontId="11" fillId="16" borderId="0" xfId="3" applyNumberFormat="1" applyFont="1" applyFill="1" applyAlignment="1">
      <alignment horizontal="center"/>
    </xf>
    <xf numFmtId="167" fontId="11" fillId="16" borderId="0" xfId="3" applyNumberFormat="1" applyFont="1" applyFill="1" applyAlignment="1">
      <alignment horizontal="center"/>
    </xf>
    <xf numFmtId="9" fontId="10" fillId="7" borderId="0" xfId="2" applyFont="1" applyFill="1" applyAlignment="1">
      <alignment horizontal="center"/>
    </xf>
    <xf numFmtId="164" fontId="10" fillId="7" borderId="0" xfId="2" applyNumberFormat="1" applyFont="1" applyFill="1" applyAlignment="1">
      <alignment horizontal="center"/>
    </xf>
    <xf numFmtId="0" fontId="10" fillId="0" borderId="0" xfId="3" applyAlignment="1">
      <alignment horizontal="center"/>
    </xf>
    <xf numFmtId="3" fontId="0" fillId="7" borderId="0" xfId="0" applyNumberFormat="1" applyFill="1" applyAlignment="1">
      <alignment horizontal="center"/>
    </xf>
    <xf numFmtId="0" fontId="14" fillId="17" borderId="0" xfId="3" applyFont="1" applyFill="1"/>
    <xf numFmtId="0" fontId="15" fillId="17" borderId="0" xfId="3" applyFont="1" applyFill="1"/>
    <xf numFmtId="3" fontId="15" fillId="17" borderId="0" xfId="3" applyNumberFormat="1" applyFont="1" applyFill="1" applyAlignment="1">
      <alignment horizontal="center"/>
    </xf>
    <xf numFmtId="167" fontId="14" fillId="17" borderId="0" xfId="3" applyNumberFormat="1" applyFont="1" applyFill="1" applyAlignment="1">
      <alignment horizontal="center"/>
    </xf>
    <xf numFmtId="3" fontId="14" fillId="17" borderId="0" xfId="3" applyNumberFormat="1" applyFont="1" applyFill="1" applyAlignment="1">
      <alignment horizontal="center"/>
    </xf>
    <xf numFmtId="167" fontId="13" fillId="0" borderId="0" xfId="3" applyNumberFormat="1" applyFont="1" applyAlignment="1">
      <alignment horizontal="center"/>
    </xf>
    <xf numFmtId="0" fontId="16" fillId="0" borderId="0" xfId="3" applyFont="1"/>
    <xf numFmtId="0" fontId="9" fillId="0" borderId="0" xfId="0" applyFont="1"/>
    <xf numFmtId="0" fontId="0" fillId="7" borderId="17" xfId="0" applyFill="1" applyBorder="1"/>
    <xf numFmtId="0" fontId="5" fillId="2" borderId="12" xfId="0" applyFont="1" applyFill="1" applyBorder="1"/>
    <xf numFmtId="0" fontId="17" fillId="0" borderId="0" xfId="0" applyFont="1"/>
    <xf numFmtId="0" fontId="18" fillId="0" borderId="0" xfId="0" applyFont="1"/>
    <xf numFmtId="0" fontId="0" fillId="7" borderId="6" xfId="0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167" fontId="0" fillId="0" borderId="0" xfId="0" applyNumberFormat="1" applyAlignment="1">
      <alignment horizontal="center"/>
    </xf>
    <xf numFmtId="167" fontId="3" fillId="12" borderId="10" xfId="0" applyNumberFormat="1" applyFont="1" applyFill="1" applyBorder="1" applyAlignment="1">
      <alignment horizontal="center"/>
    </xf>
    <xf numFmtId="167" fontId="3" fillId="2" borderId="10" xfId="0" applyNumberFormat="1" applyFont="1" applyFill="1" applyBorder="1" applyAlignment="1">
      <alignment horizontal="center"/>
    </xf>
    <xf numFmtId="167" fontId="3" fillId="14" borderId="10" xfId="0" applyNumberFormat="1" applyFont="1" applyFill="1" applyBorder="1" applyAlignment="1">
      <alignment horizontal="center"/>
    </xf>
    <xf numFmtId="170" fontId="0" fillId="0" borderId="0" xfId="1" applyNumberFormat="1" applyFont="1" applyAlignment="1">
      <alignment horizontal="center"/>
    </xf>
    <xf numFmtId="173" fontId="0" fillId="7" borderId="0" xfId="0" applyNumberFormat="1" applyFill="1" applyAlignment="1">
      <alignment horizontal="center"/>
    </xf>
    <xf numFmtId="174" fontId="0" fillId="0" borderId="25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174" fontId="0" fillId="0" borderId="33" xfId="0" applyNumberFormat="1" applyBorder="1" applyAlignment="1">
      <alignment horizontal="center"/>
    </xf>
    <xf numFmtId="0" fontId="0" fillId="0" borderId="38" xfId="0" applyBorder="1"/>
    <xf numFmtId="173" fontId="0" fillId="7" borderId="39" xfId="0" applyNumberFormat="1" applyFill="1" applyBorder="1" applyAlignment="1">
      <alignment horizontal="center"/>
    </xf>
    <xf numFmtId="174" fontId="0" fillId="0" borderId="40" xfId="0" applyNumberFormat="1" applyBorder="1" applyAlignment="1">
      <alignment horizontal="center"/>
    </xf>
    <xf numFmtId="0" fontId="3" fillId="9" borderId="12" xfId="0" applyFont="1" applyFill="1" applyBorder="1"/>
    <xf numFmtId="0" fontId="3" fillId="9" borderId="29" xfId="0" applyFont="1" applyFill="1" applyBorder="1"/>
    <xf numFmtId="0" fontId="3" fillId="9" borderId="35" xfId="0" applyFont="1" applyFill="1" applyBorder="1" applyAlignment="1">
      <alignment horizontal="center"/>
    </xf>
    <xf numFmtId="0" fontId="3" fillId="9" borderId="30" xfId="0" applyFont="1" applyFill="1" applyBorder="1" applyAlignment="1">
      <alignment horizontal="center"/>
    </xf>
    <xf numFmtId="0" fontId="3" fillId="9" borderId="29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0" fillId="16" borderId="17" xfId="0" applyFill="1" applyBorder="1" applyAlignment="1">
      <alignment horizontal="center"/>
    </xf>
    <xf numFmtId="2" fontId="3" fillId="9" borderId="29" xfId="0" applyNumberFormat="1" applyFont="1" applyFill="1" applyBorder="1" applyAlignment="1">
      <alignment horizontal="left"/>
    </xf>
    <xf numFmtId="3" fontId="0" fillId="0" borderId="35" xfId="0" applyNumberFormat="1" applyBorder="1" applyAlignment="1">
      <alignment horizontal="center"/>
    </xf>
    <xf numFmtId="3" fontId="0" fillId="0" borderId="34" xfId="0" applyNumberFormat="1" applyBorder="1" applyAlignment="1">
      <alignment horizontal="center"/>
    </xf>
    <xf numFmtId="0" fontId="5" fillId="9" borderId="14" xfId="0" applyFont="1" applyFill="1" applyBorder="1"/>
    <xf numFmtId="170" fontId="0" fillId="0" borderId="0" xfId="1" applyNumberFormat="1" applyFont="1"/>
    <xf numFmtId="3" fontId="0" fillId="0" borderId="31" xfId="0" applyNumberFormat="1" applyBorder="1" applyAlignment="1">
      <alignment horizontal="center"/>
    </xf>
    <xf numFmtId="0" fontId="0" fillId="0" borderId="31" xfId="0" applyBorder="1" applyAlignment="1">
      <alignment horizontal="left"/>
    </xf>
    <xf numFmtId="3" fontId="3" fillId="9" borderId="34" xfId="0" applyNumberFormat="1" applyFont="1" applyFill="1" applyBorder="1" applyAlignment="1">
      <alignment horizontal="center"/>
    </xf>
    <xf numFmtId="3" fontId="3" fillId="9" borderId="33" xfId="0" applyNumberFormat="1" applyFont="1" applyFill="1" applyBorder="1" applyAlignment="1">
      <alignment horizontal="center"/>
    </xf>
    <xf numFmtId="3" fontId="3" fillId="9" borderId="32" xfId="0" applyNumberFormat="1" applyFont="1" applyFill="1" applyBorder="1" applyAlignment="1">
      <alignment horizontal="center"/>
    </xf>
    <xf numFmtId="0" fontId="5" fillId="9" borderId="32" xfId="0" applyFont="1" applyFill="1" applyBorder="1" applyAlignment="1">
      <alignment horizontal="left"/>
    </xf>
    <xf numFmtId="0" fontId="3" fillId="9" borderId="35" xfId="0" applyFont="1" applyFill="1" applyBorder="1"/>
    <xf numFmtId="0" fontId="3" fillId="9" borderId="30" xfId="0" applyFont="1" applyFill="1" applyBorder="1"/>
    <xf numFmtId="167" fontId="0" fillId="7" borderId="25" xfId="0" applyNumberFormat="1" applyFill="1" applyBorder="1" applyAlignment="1">
      <alignment horizontal="center"/>
    </xf>
    <xf numFmtId="167" fontId="0" fillId="7" borderId="6" xfId="0" applyNumberFormat="1" applyFill="1" applyBorder="1" applyAlignment="1">
      <alignment horizontal="center"/>
    </xf>
    <xf numFmtId="174" fontId="0" fillId="0" borderId="0" xfId="0" applyNumberFormat="1"/>
    <xf numFmtId="0" fontId="3" fillId="9" borderId="32" xfId="0" applyFont="1" applyFill="1" applyBorder="1"/>
    <xf numFmtId="168" fontId="3" fillId="9" borderId="34" xfId="0" applyNumberFormat="1" applyFont="1" applyFill="1" applyBorder="1" applyAlignment="1">
      <alignment horizontal="center"/>
    </xf>
    <xf numFmtId="167" fontId="0" fillId="8" borderId="25" xfId="0" applyNumberFormat="1" applyFill="1" applyBorder="1" applyAlignment="1">
      <alignment horizontal="center"/>
    </xf>
    <xf numFmtId="0" fontId="15" fillId="9" borderId="0" xfId="3" applyFont="1" applyFill="1"/>
    <xf numFmtId="165" fontId="10" fillId="0" borderId="12" xfId="3" applyNumberFormat="1" applyBorder="1" applyAlignment="1">
      <alignment horizontal="center"/>
    </xf>
    <xf numFmtId="180" fontId="10" fillId="0" borderId="14" xfId="3" applyNumberFormat="1" applyBorder="1" applyAlignment="1">
      <alignment horizontal="center"/>
    </xf>
    <xf numFmtId="0" fontId="14" fillId="2" borderId="12" xfId="3" applyFont="1" applyFill="1" applyBorder="1"/>
    <xf numFmtId="0" fontId="17" fillId="0" borderId="0" xfId="3" applyFont="1"/>
    <xf numFmtId="0" fontId="18" fillId="0" borderId="0" xfId="3" applyFont="1"/>
    <xf numFmtId="164" fontId="0" fillId="7" borderId="36" xfId="0" applyNumberFormat="1" applyFill="1" applyBorder="1"/>
    <xf numFmtId="164" fontId="0" fillId="7" borderId="37" xfId="0" applyNumberFormat="1" applyFill="1" applyBorder="1"/>
    <xf numFmtId="0" fontId="5" fillId="2" borderId="29" xfId="0" applyFont="1" applyFill="1" applyBorder="1"/>
    <xf numFmtId="0" fontId="5" fillId="2" borderId="30" xfId="0" applyFont="1" applyFill="1" applyBorder="1"/>
    <xf numFmtId="0" fontId="5" fillId="2" borderId="32" xfId="0" applyFont="1" applyFill="1" applyBorder="1"/>
    <xf numFmtId="0" fontId="5" fillId="2" borderId="33" xfId="0" applyFont="1" applyFill="1" applyBorder="1"/>
    <xf numFmtId="3" fontId="0" fillId="7" borderId="35" xfId="0" applyNumberFormat="1" applyFill="1" applyBorder="1"/>
    <xf numFmtId="3" fontId="0" fillId="0" borderId="35" xfId="0" applyNumberFormat="1" applyBorder="1"/>
    <xf numFmtId="3" fontId="0" fillId="0" borderId="30" xfId="0" applyNumberFormat="1" applyBorder="1"/>
    <xf numFmtId="3" fontId="0" fillId="0" borderId="25" xfId="0" applyNumberFormat="1" applyBorder="1"/>
    <xf numFmtId="164" fontId="0" fillId="0" borderId="0" xfId="2" applyNumberFormat="1" applyFont="1" applyFill="1" applyBorder="1"/>
    <xf numFmtId="164" fontId="0" fillId="7" borderId="0" xfId="2" applyNumberFormat="1" applyFont="1" applyFill="1" applyBorder="1"/>
    <xf numFmtId="164" fontId="0" fillId="0" borderId="25" xfId="2" applyNumberFormat="1" applyFont="1" applyFill="1" applyBorder="1"/>
    <xf numFmtId="9" fontId="0" fillId="7" borderId="34" xfId="0" applyNumberFormat="1" applyFill="1" applyBorder="1"/>
    <xf numFmtId="9" fontId="0" fillId="7" borderId="33" xfId="0" applyNumberFormat="1" applyFill="1" applyBorder="1"/>
    <xf numFmtId="0" fontId="0" fillId="0" borderId="30" xfId="0" applyBorder="1"/>
    <xf numFmtId="0" fontId="0" fillId="0" borderId="25" xfId="0" applyBorder="1"/>
    <xf numFmtId="0" fontId="0" fillId="0" borderId="33" xfId="0" applyBorder="1"/>
    <xf numFmtId="43" fontId="0" fillId="0" borderId="0" xfId="0" applyNumberFormat="1"/>
    <xf numFmtId="3" fontId="4" fillId="8" borderId="25" xfId="0" applyNumberFormat="1" applyFont="1" applyFill="1" applyBorder="1" applyAlignment="1">
      <alignment horizontal="center"/>
    </xf>
    <xf numFmtId="181" fontId="4" fillId="6" borderId="11" xfId="1" applyNumberFormat="1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18" fillId="0" borderId="0" xfId="1" applyFont="1"/>
    <xf numFmtId="43" fontId="0" fillId="0" borderId="0" xfId="1" applyFont="1"/>
    <xf numFmtId="43" fontId="4" fillId="0" borderId="0" xfId="1" applyFont="1"/>
    <xf numFmtId="164" fontId="0" fillId="18" borderId="0" xfId="0" applyNumberFormat="1" applyFill="1" applyAlignment="1">
      <alignment horizontal="center"/>
    </xf>
    <xf numFmtId="164" fontId="0" fillId="18" borderId="0" xfId="2" applyNumberFormat="1" applyFont="1" applyFill="1" applyBorder="1" applyAlignment="1">
      <alignment horizontal="center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left" indent="1"/>
    </xf>
    <xf numFmtId="164" fontId="10" fillId="0" borderId="0" xfId="2" applyNumberFormat="1" applyFont="1" applyFill="1" applyAlignment="1">
      <alignment horizontal="center"/>
    </xf>
    <xf numFmtId="164" fontId="10" fillId="18" borderId="0" xfId="2" applyNumberFormat="1" applyFont="1" applyFill="1" applyAlignment="1">
      <alignment horizontal="center"/>
    </xf>
    <xf numFmtId="0" fontId="1" fillId="0" borderId="0" xfId="3" applyFont="1"/>
    <xf numFmtId="0" fontId="10" fillId="18" borderId="0" xfId="3" applyFill="1"/>
    <xf numFmtId="167" fontId="10" fillId="18" borderId="0" xfId="3" applyNumberFormat="1" applyFill="1" applyAlignment="1">
      <alignment horizontal="center"/>
    </xf>
    <xf numFmtId="3" fontId="10" fillId="18" borderId="0" xfId="3" applyNumberFormat="1" applyFill="1" applyAlignment="1">
      <alignment horizontal="center"/>
    </xf>
    <xf numFmtId="37" fontId="0" fillId="18" borderId="0" xfId="1" applyNumberFormat="1" applyFont="1" applyFill="1" applyBorder="1" applyAlignment="1">
      <alignment horizontal="center"/>
    </xf>
    <xf numFmtId="0" fontId="3" fillId="0" borderId="0" xfId="0" applyFont="1"/>
    <xf numFmtId="9" fontId="5" fillId="0" borderId="0" xfId="0" applyNumberFormat="1" applyFont="1" applyAlignment="1">
      <alignment horizontal="center"/>
    </xf>
    <xf numFmtId="0" fontId="5" fillId="0" borderId="0" xfId="0" applyFont="1"/>
    <xf numFmtId="3" fontId="3" fillId="0" borderId="0" xfId="0" applyNumberFormat="1" applyFont="1"/>
    <xf numFmtId="43" fontId="0" fillId="0" borderId="0" xfId="1" applyFont="1" applyFill="1"/>
    <xf numFmtId="9" fontId="0" fillId="0" borderId="0" xfId="2" applyFont="1" applyFill="1"/>
    <xf numFmtId="14" fontId="17" fillId="0" borderId="0" xfId="0" applyNumberFormat="1" applyFont="1"/>
    <xf numFmtId="0" fontId="0" fillId="0" borderId="5" xfId="0" applyBorder="1" applyAlignment="1">
      <alignment horizontal="left" indent="1"/>
    </xf>
    <xf numFmtId="0" fontId="0" fillId="6" borderId="6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3" fontId="0" fillId="6" borderId="18" xfId="0" applyNumberFormat="1" applyFill="1" applyBorder="1" applyAlignment="1">
      <alignment horizontal="center"/>
    </xf>
    <xf numFmtId="9" fontId="0" fillId="0" borderId="6" xfId="0" applyNumberFormat="1" applyBorder="1" applyAlignment="1">
      <alignment horizontal="left" indent="1"/>
    </xf>
    <xf numFmtId="3" fontId="3" fillId="2" borderId="41" xfId="0" applyNumberFormat="1" applyFont="1" applyFill="1" applyBorder="1" applyAlignment="1">
      <alignment horizontal="center"/>
    </xf>
    <xf numFmtId="3" fontId="0" fillId="7" borderId="6" xfId="0" applyNumberFormat="1" applyFill="1" applyBorder="1" applyAlignment="1">
      <alignment horizontal="center"/>
    </xf>
    <xf numFmtId="3" fontId="0" fillId="0" borderId="18" xfId="0" applyNumberFormat="1" applyBorder="1" applyAlignment="1">
      <alignment horizontal="left" indent="1"/>
    </xf>
    <xf numFmtId="171" fontId="0" fillId="18" borderId="0" xfId="1" applyNumberFormat="1" applyFont="1" applyFill="1" applyBorder="1" applyAlignment="1">
      <alignment horizontal="center"/>
    </xf>
    <xf numFmtId="0" fontId="0" fillId="7" borderId="0" xfId="0" applyFill="1" applyAlignment="1">
      <alignment horizontal="left" indent="1"/>
    </xf>
    <xf numFmtId="9" fontId="3" fillId="14" borderId="0" xfId="0" applyNumberFormat="1" applyFont="1" applyFill="1"/>
    <xf numFmtId="0" fontId="3" fillId="9" borderId="0" xfId="0" applyFont="1" applyFill="1" applyAlignment="1">
      <alignment horizontal="center"/>
    </xf>
    <xf numFmtId="15" fontId="17" fillId="0" borderId="0" xfId="0" applyNumberFormat="1" applyFont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4" borderId="20" xfId="0" applyFont="1" applyFill="1" applyBorder="1" applyAlignment="1">
      <alignment horizontal="center"/>
    </xf>
    <xf numFmtId="0" fontId="3" fillId="14" borderId="21" xfId="0" applyFont="1" applyFill="1" applyBorder="1" applyAlignment="1">
      <alignment horizontal="center"/>
    </xf>
    <xf numFmtId="0" fontId="3" fillId="12" borderId="20" xfId="0" applyFont="1" applyFill="1" applyBorder="1" applyAlignment="1">
      <alignment horizontal="center"/>
    </xf>
    <xf numFmtId="0" fontId="3" fillId="12" borderId="21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9" borderId="29" xfId="0" applyFont="1" applyFill="1" applyBorder="1" applyAlignment="1">
      <alignment horizontal="center"/>
    </xf>
    <xf numFmtId="0" fontId="3" fillId="9" borderId="30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15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15" fontId="15" fillId="9" borderId="0" xfId="3" applyNumberFormat="1" applyFont="1" applyFill="1" applyAlignment="1">
      <alignment horizontal="center"/>
    </xf>
  </cellXfs>
  <cellStyles count="4">
    <cellStyle name="Comma" xfId="1" builtinId="3"/>
    <cellStyle name="Normal" xfId="0" builtinId="0"/>
    <cellStyle name="Normal 2" xfId="3" xr:uid="{E9C43585-26AD-6B4C-864C-DE34D624463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e-dubaifs-01/dubai$/Users/Irfan%20Shah/AppData/Roaming/Microsoft/Templates/Sales%20Seasonality%20by%20Month9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asth/AppData/Local/Microsoft/Windows/INetCache/Content.Outlook/BORAO3X6/Individual%20Asset%20Tab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e-dubaifs-01/dubai$/Users/Irfan%20Shah/AppData/Roaming/Microsoft/Templates/Service%20Invoice9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Seasonality by Month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vidual Asset tables"/>
      <sheetName val="Sheet1"/>
    </sheetNames>
    <definedNames>
      <definedName name="Data.Top.Left"/>
    </defined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 Invoi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85A6-C00C-A04C-A7A5-A0B0777FF40D}">
  <sheetPr>
    <pageSetUpPr fitToPage="1"/>
  </sheetPr>
  <dimension ref="A1:AD138"/>
  <sheetViews>
    <sheetView tabSelected="1" zoomScale="90" zoomScaleNormal="70" workbookViewId="0">
      <selection activeCell="D139" sqref="D139"/>
    </sheetView>
  </sheetViews>
  <sheetFormatPr baseColWidth="10" defaultColWidth="10.6640625" defaultRowHeight="16" x14ac:dyDescent="0.2"/>
  <cols>
    <col min="1" max="1" width="40.33203125" customWidth="1"/>
    <col min="2" max="2" width="22" customWidth="1"/>
    <col min="3" max="3" width="15.6640625" bestFit="1" customWidth="1"/>
    <col min="4" max="14" width="12.83203125" customWidth="1"/>
    <col min="16" max="16" width="8.1640625" customWidth="1"/>
    <col min="18" max="18" width="13" bestFit="1" customWidth="1"/>
    <col min="20" max="20" width="8.33203125" style="317" customWidth="1"/>
    <col min="21" max="21" width="21.1640625" customWidth="1"/>
    <col min="22" max="22" width="14.1640625" bestFit="1" customWidth="1"/>
    <col min="23" max="30" width="15.1640625" bestFit="1" customWidth="1"/>
  </cols>
  <sheetData>
    <row r="1" spans="1:21" s="243" customFormat="1" ht="24" x14ac:dyDescent="0.3">
      <c r="A1" s="242" t="s">
        <v>113</v>
      </c>
      <c r="B1" s="242"/>
      <c r="D1" s="242" t="s">
        <v>367</v>
      </c>
      <c r="M1" s="349">
        <v>45135</v>
      </c>
      <c r="N1" s="349"/>
      <c r="T1" s="316"/>
    </row>
    <row r="2" spans="1:21" ht="27" thickBot="1" x14ac:dyDescent="0.35">
      <c r="B2" s="1"/>
    </row>
    <row r="3" spans="1:21" x14ac:dyDescent="0.2">
      <c r="A3" s="21" t="s">
        <v>0</v>
      </c>
      <c r="B3" s="43" t="s">
        <v>423</v>
      </c>
      <c r="D3" s="241" t="s">
        <v>365</v>
      </c>
      <c r="E3" s="240">
        <v>3.67</v>
      </c>
    </row>
    <row r="4" spans="1:21" x14ac:dyDescent="0.2">
      <c r="A4" s="46" t="s">
        <v>2</v>
      </c>
      <c r="B4" s="44" t="s">
        <v>424</v>
      </c>
    </row>
    <row r="5" spans="1:21" x14ac:dyDescent="0.2">
      <c r="A5" s="46" t="s">
        <v>3</v>
      </c>
      <c r="B5" s="44" t="s">
        <v>372</v>
      </c>
      <c r="L5" s="293" t="s">
        <v>70</v>
      </c>
      <c r="M5" s="294"/>
      <c r="N5" s="291">
        <v>0.03</v>
      </c>
    </row>
    <row r="6" spans="1:21" ht="17" thickBot="1" x14ac:dyDescent="0.25">
      <c r="A6" s="28" t="s">
        <v>109</v>
      </c>
      <c r="B6" s="45" t="s">
        <v>366</v>
      </c>
      <c r="L6" s="295" t="s">
        <v>71</v>
      </c>
      <c r="M6" s="296"/>
      <c r="N6" s="292">
        <v>0.03</v>
      </c>
    </row>
    <row r="7" spans="1:21" ht="17" thickBot="1" x14ac:dyDescent="0.25">
      <c r="U7" s="33">
        <v>0.2501080099204227</v>
      </c>
    </row>
    <row r="8" spans="1:21" x14ac:dyDescent="0.2">
      <c r="A8" s="21" t="s">
        <v>1</v>
      </c>
      <c r="B8" s="41">
        <f>IRR(C98:N98,0.1)</f>
        <v>0.41824331189236097</v>
      </c>
      <c r="D8" s="89"/>
      <c r="E8" s="354" t="s">
        <v>147</v>
      </c>
      <c r="F8" s="354"/>
      <c r="G8" s="354"/>
      <c r="H8" s="354"/>
      <c r="I8" s="354"/>
      <c r="J8" s="354"/>
      <c r="K8" s="354"/>
      <c r="L8" s="354"/>
      <c r="M8" s="354"/>
      <c r="N8" s="352"/>
      <c r="Q8" t="s">
        <v>1</v>
      </c>
      <c r="U8" s="317">
        <v>156734338.67127097</v>
      </c>
    </row>
    <row r="9" spans="1:21" ht="17" thickBot="1" x14ac:dyDescent="0.25">
      <c r="A9" s="28" t="s">
        <v>93</v>
      </c>
      <c r="B9" s="42">
        <f>NPV(0.1,C98:N98)</f>
        <v>87312335.727722228</v>
      </c>
      <c r="D9" s="27" t="s">
        <v>125</v>
      </c>
      <c r="E9" s="91">
        <f t="shared" ref="E9" si="0">E23/$B$11</f>
        <v>41.891450202797976</v>
      </c>
      <c r="F9" s="91">
        <f>F23/$B$11</f>
        <v>104.7884704358561</v>
      </c>
      <c r="G9" s="91">
        <f>G23/$B$11</f>
        <v>126.97897005756681</v>
      </c>
      <c r="H9" s="91">
        <f t="shared" ref="H9:N9" si="1">H23/$B$11</f>
        <v>130.78833915929383</v>
      </c>
      <c r="I9" s="91">
        <f t="shared" si="1"/>
        <v>134.71198933407263</v>
      </c>
      <c r="J9" s="91">
        <f t="shared" si="1"/>
        <v>138.75334901409479</v>
      </c>
      <c r="K9" s="91">
        <f t="shared" si="1"/>
        <v>142.91594948451763</v>
      </c>
      <c r="L9" s="91">
        <f t="shared" si="1"/>
        <v>147.20342796905317</v>
      </c>
      <c r="M9" s="91">
        <f t="shared" si="1"/>
        <v>151.61953080812475</v>
      </c>
      <c r="N9" s="82">
        <f t="shared" si="1"/>
        <v>156.1681167323685</v>
      </c>
      <c r="Q9" t="s">
        <v>93</v>
      </c>
      <c r="U9" s="317"/>
    </row>
    <row r="10" spans="1:21" ht="17" thickBot="1" x14ac:dyDescent="0.25">
      <c r="D10" s="27" t="s">
        <v>126</v>
      </c>
      <c r="E10" s="91">
        <f>E29/$B$11</f>
        <v>41.891450202797976</v>
      </c>
      <c r="F10" s="91">
        <f>F29/$B$11</f>
        <v>104.7884704358561</v>
      </c>
      <c r="G10" s="91">
        <f t="shared" ref="G10:M10" si="2">G29/$B$11</f>
        <v>126.97897005756681</v>
      </c>
      <c r="H10" s="91">
        <f t="shared" si="2"/>
        <v>130.78833915929383</v>
      </c>
      <c r="I10" s="91">
        <f>I29/$B$11</f>
        <v>134.71198933407263</v>
      </c>
      <c r="J10" s="91">
        <f t="shared" si="2"/>
        <v>138.75334901409479</v>
      </c>
      <c r="K10" s="91">
        <f t="shared" si="2"/>
        <v>142.91594948451763</v>
      </c>
      <c r="L10" s="91">
        <f t="shared" si="2"/>
        <v>147.20342796905317</v>
      </c>
      <c r="M10" s="91">
        <f t="shared" si="2"/>
        <v>151.61953080812475</v>
      </c>
      <c r="N10" s="82">
        <f>N29/$B$11</f>
        <v>156.1681167323685</v>
      </c>
      <c r="U10" s="317">
        <v>324454.86608695658</v>
      </c>
    </row>
    <row r="11" spans="1:21" x14ac:dyDescent="0.2">
      <c r="A11" s="21" t="s">
        <v>128</v>
      </c>
      <c r="B11" s="88">
        <f>H135</f>
        <v>140157.39861892653</v>
      </c>
      <c r="D11" s="27" t="s">
        <v>127</v>
      </c>
      <c r="E11" s="91">
        <f>(E24+E25+E35)/$B$11</f>
        <v>16.944530878052355</v>
      </c>
      <c r="F11" s="91">
        <f>(F24+F25+F35)/$B$11</f>
        <v>42.385533667813817</v>
      </c>
      <c r="G11" s="91">
        <f>(G24+G25+G35)/$B$11</f>
        <v>51.361293738644967</v>
      </c>
      <c r="H11" s="91">
        <f t="shared" ref="H11:N11" si="3">(H24+H25+H35)/$B$11</f>
        <v>52.902132550804318</v>
      </c>
      <c r="I11" s="91">
        <f t="shared" si="3"/>
        <v>54.489196527328453</v>
      </c>
      <c r="J11" s="91">
        <f t="shared" si="3"/>
        <v>56.123872423148306</v>
      </c>
      <c r="K11" s="91">
        <f t="shared" si="3"/>
        <v>57.807588595842752</v>
      </c>
      <c r="L11" s="91">
        <f t="shared" si="3"/>
        <v>59.541816253718032</v>
      </c>
      <c r="M11" s="91">
        <f t="shared" si="3"/>
        <v>61.328070741329569</v>
      </c>
      <c r="N11" s="82">
        <f t="shared" si="3"/>
        <v>63.167912863569462</v>
      </c>
      <c r="Q11" t="s">
        <v>128</v>
      </c>
      <c r="U11" s="317">
        <v>200</v>
      </c>
    </row>
    <row r="12" spans="1:21" ht="17" thickBot="1" x14ac:dyDescent="0.25">
      <c r="A12" s="28" t="s">
        <v>129</v>
      </c>
      <c r="B12" s="311">
        <f>D123/B118</f>
        <v>199.61476437914351</v>
      </c>
      <c r="D12" s="90" t="s">
        <v>62</v>
      </c>
      <c r="E12" s="30">
        <f>SUM(E9:E11)</f>
        <v>100.72743128364831</v>
      </c>
      <c r="F12" s="30">
        <f>SUM(F9:F11)</f>
        <v>251.962474539526</v>
      </c>
      <c r="G12" s="30">
        <f>SUM(G9:G11)</f>
        <v>305.3192338537786</v>
      </c>
      <c r="H12" s="30">
        <f>SUM(H9:H11)</f>
        <v>314.47881086939196</v>
      </c>
      <c r="I12" s="30">
        <f t="shared" ref="I12:N12" si="4">SUM(I9:I11)</f>
        <v>323.91317519547368</v>
      </c>
      <c r="J12" s="30">
        <f t="shared" si="4"/>
        <v>333.63057045133792</v>
      </c>
      <c r="K12" s="30">
        <f t="shared" si="4"/>
        <v>343.63948756487798</v>
      </c>
      <c r="L12" s="30">
        <f t="shared" si="4"/>
        <v>353.94867219182436</v>
      </c>
      <c r="M12" s="30">
        <f t="shared" si="4"/>
        <v>364.56713235757906</v>
      </c>
      <c r="N12" s="31">
        <f t="shared" si="4"/>
        <v>375.50414632830649</v>
      </c>
      <c r="Q12" t="s">
        <v>129</v>
      </c>
    </row>
    <row r="14" spans="1:21" x14ac:dyDescent="0.2">
      <c r="C14" s="105" t="s">
        <v>4</v>
      </c>
      <c r="D14" s="306"/>
      <c r="E14" s="297">
        <f>365/2</f>
        <v>182.5</v>
      </c>
      <c r="F14" s="297">
        <v>365</v>
      </c>
      <c r="G14" s="298">
        <f>F14</f>
        <v>365</v>
      </c>
      <c r="H14" s="298">
        <f t="shared" ref="H14:N14" si="5">G14</f>
        <v>365</v>
      </c>
      <c r="I14" s="298">
        <f t="shared" si="5"/>
        <v>365</v>
      </c>
      <c r="J14" s="298">
        <f t="shared" si="5"/>
        <v>365</v>
      </c>
      <c r="K14" s="298">
        <f t="shared" si="5"/>
        <v>365</v>
      </c>
      <c r="L14" s="298">
        <f t="shared" si="5"/>
        <v>365</v>
      </c>
      <c r="M14" s="298">
        <f t="shared" si="5"/>
        <v>365</v>
      </c>
      <c r="N14" s="299">
        <f t="shared" si="5"/>
        <v>365</v>
      </c>
    </row>
    <row r="15" spans="1:21" x14ac:dyDescent="0.2">
      <c r="C15" s="137" t="s">
        <v>5</v>
      </c>
      <c r="D15" s="307"/>
      <c r="E15" s="36">
        <f>B126</f>
        <v>25</v>
      </c>
      <c r="F15" s="3">
        <f>E15</f>
        <v>25</v>
      </c>
      <c r="G15" s="3">
        <f t="shared" ref="G15:N16" si="6">F15</f>
        <v>25</v>
      </c>
      <c r="H15" s="3">
        <f t="shared" si="6"/>
        <v>25</v>
      </c>
      <c r="I15" s="3">
        <f t="shared" si="6"/>
        <v>25</v>
      </c>
      <c r="J15" s="3">
        <f t="shared" si="6"/>
        <v>25</v>
      </c>
      <c r="K15" s="3">
        <f t="shared" si="6"/>
        <v>25</v>
      </c>
      <c r="L15" s="3">
        <f t="shared" si="6"/>
        <v>25</v>
      </c>
      <c r="M15" s="3">
        <f t="shared" si="6"/>
        <v>25</v>
      </c>
      <c r="N15" s="300">
        <f t="shared" si="6"/>
        <v>25</v>
      </c>
    </row>
    <row r="16" spans="1:21" x14ac:dyDescent="0.2">
      <c r="C16" s="137" t="s">
        <v>6</v>
      </c>
      <c r="D16" s="307"/>
      <c r="E16" s="301">
        <f>G16*(1+E18)</f>
        <v>0.38584693360959443</v>
      </c>
      <c r="F16" s="301">
        <f>G16*(1+F18)</f>
        <v>0.46852841938307899</v>
      </c>
      <c r="G16" s="302">
        <f>G126</f>
        <v>0.55120990515656354</v>
      </c>
      <c r="H16" s="301">
        <f>G16</f>
        <v>0.55120990515656354</v>
      </c>
      <c r="I16" s="301">
        <f t="shared" si="6"/>
        <v>0.55120990515656354</v>
      </c>
      <c r="J16" s="301">
        <f t="shared" si="6"/>
        <v>0.55120990515656354</v>
      </c>
      <c r="K16" s="301">
        <f t="shared" si="6"/>
        <v>0.55120990515656354</v>
      </c>
      <c r="L16" s="301">
        <f t="shared" si="6"/>
        <v>0.55120990515656354</v>
      </c>
      <c r="M16" s="301">
        <f t="shared" si="6"/>
        <v>0.55120990515656354</v>
      </c>
      <c r="N16" s="303">
        <f t="shared" si="6"/>
        <v>0.55120990515656354</v>
      </c>
    </row>
    <row r="17" spans="1:20" x14ac:dyDescent="0.2">
      <c r="C17" s="137" t="s">
        <v>7</v>
      </c>
      <c r="D17" s="307" t="s">
        <v>94</v>
      </c>
      <c r="E17" s="36">
        <f>D126*(1+N5)^3</f>
        <v>3335.2123680821919</v>
      </c>
      <c r="F17" s="3">
        <f t="shared" ref="F17:N17" si="7">E17*(1+$N$5)</f>
        <v>3435.2687391246577</v>
      </c>
      <c r="G17" s="3">
        <f t="shared" si="7"/>
        <v>3538.3268012983976</v>
      </c>
      <c r="H17" s="3">
        <f t="shared" si="7"/>
        <v>3644.4766053373496</v>
      </c>
      <c r="I17" s="3">
        <f t="shared" si="7"/>
        <v>3753.81090349747</v>
      </c>
      <c r="J17" s="3">
        <f t="shared" si="7"/>
        <v>3866.4252306023941</v>
      </c>
      <c r="K17" s="3">
        <f t="shared" si="7"/>
        <v>3982.4179875204659</v>
      </c>
      <c r="L17" s="3">
        <f t="shared" si="7"/>
        <v>4101.8905271460799</v>
      </c>
      <c r="M17" s="3">
        <f t="shared" si="7"/>
        <v>4224.9472429604621</v>
      </c>
      <c r="N17" s="300">
        <f t="shared" si="7"/>
        <v>4351.6956602492764</v>
      </c>
    </row>
    <row r="18" spans="1:20" x14ac:dyDescent="0.2">
      <c r="C18" s="142" t="s">
        <v>72</v>
      </c>
      <c r="D18" s="308"/>
      <c r="E18" s="304">
        <v>-0.3</v>
      </c>
      <c r="F18" s="304">
        <v>-0.15</v>
      </c>
      <c r="G18" s="304">
        <v>0</v>
      </c>
      <c r="H18" s="304">
        <v>0</v>
      </c>
      <c r="I18" s="304">
        <v>0</v>
      </c>
      <c r="J18" s="304">
        <v>0</v>
      </c>
      <c r="K18" s="304">
        <v>0</v>
      </c>
      <c r="L18" s="304">
        <v>0</v>
      </c>
      <c r="M18" s="304">
        <v>0</v>
      </c>
      <c r="N18" s="305">
        <v>0</v>
      </c>
    </row>
    <row r="19" spans="1:20" x14ac:dyDescent="0.2">
      <c r="E19" s="33"/>
      <c r="F19" s="3"/>
      <c r="G19" s="40"/>
      <c r="H19" s="3"/>
      <c r="I19" s="3"/>
      <c r="J19" s="3"/>
      <c r="K19" s="3"/>
      <c r="L19" s="3"/>
      <c r="M19" s="3"/>
      <c r="N19" s="3"/>
    </row>
    <row r="20" spans="1:20" x14ac:dyDescent="0.2">
      <c r="A20" s="4"/>
      <c r="B20" s="4"/>
      <c r="C20" s="5">
        <v>2023</v>
      </c>
      <c r="D20" s="5">
        <f>C20+1</f>
        <v>2024</v>
      </c>
      <c r="E20" s="5">
        <f t="shared" ref="E20:N20" si="8">D20+1</f>
        <v>2025</v>
      </c>
      <c r="F20" s="5">
        <f t="shared" si="8"/>
        <v>2026</v>
      </c>
      <c r="G20" s="5">
        <f t="shared" si="8"/>
        <v>2027</v>
      </c>
      <c r="H20" s="5">
        <f t="shared" si="8"/>
        <v>2028</v>
      </c>
      <c r="I20" s="5">
        <f t="shared" si="8"/>
        <v>2029</v>
      </c>
      <c r="J20" s="5">
        <f t="shared" si="8"/>
        <v>2030</v>
      </c>
      <c r="K20" s="5">
        <f t="shared" si="8"/>
        <v>2031</v>
      </c>
      <c r="L20" s="5">
        <f t="shared" si="8"/>
        <v>2032</v>
      </c>
      <c r="M20" s="5">
        <f t="shared" si="8"/>
        <v>2033</v>
      </c>
      <c r="N20" s="5">
        <f t="shared" si="8"/>
        <v>2034</v>
      </c>
    </row>
    <row r="21" spans="1:20" x14ac:dyDescent="0.2">
      <c r="A21" s="4"/>
      <c r="B21" s="4"/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  <c r="K21" s="5" t="s">
        <v>16</v>
      </c>
      <c r="L21" s="5" t="s">
        <v>17</v>
      </c>
      <c r="M21" s="5" t="s">
        <v>18</v>
      </c>
      <c r="N21" s="5" t="s">
        <v>19</v>
      </c>
    </row>
    <row r="22" spans="1:20" x14ac:dyDescent="0.2">
      <c r="A22" s="6" t="s">
        <v>20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20" x14ac:dyDescent="0.2">
      <c r="A23" t="s">
        <v>21</v>
      </c>
      <c r="E23" s="3">
        <f>E14*E15*E16*E17</f>
        <v>5871396.684798467</v>
      </c>
      <c r="F23" s="3">
        <f t="shared" ref="F23:N23" si="9">F14*F15*F16*F17</f>
        <v>14686879.42154588</v>
      </c>
      <c r="G23" s="3">
        <f t="shared" si="9"/>
        <v>17797042.122579128</v>
      </c>
      <c r="H23" s="3">
        <f t="shared" si="9"/>
        <v>18330953.386256501</v>
      </c>
      <c r="I23" s="3">
        <f t="shared" si="9"/>
        <v>18880881.987844195</v>
      </c>
      <c r="J23" s="3">
        <f t="shared" si="9"/>
        <v>19447308.44747952</v>
      </c>
      <c r="K23" s="3">
        <f t="shared" si="9"/>
        <v>20030727.700903904</v>
      </c>
      <c r="L23" s="3">
        <f t="shared" si="9"/>
        <v>20631649.531931024</v>
      </c>
      <c r="M23" s="3">
        <f t="shared" si="9"/>
        <v>21250599.017888952</v>
      </c>
      <c r="N23" s="3">
        <f t="shared" si="9"/>
        <v>21888116.988425624</v>
      </c>
    </row>
    <row r="24" spans="1:20" x14ac:dyDescent="0.2">
      <c r="A24" t="s">
        <v>22</v>
      </c>
      <c r="B24" s="319">
        <v>0</v>
      </c>
      <c r="C24" t="s">
        <v>23</v>
      </c>
      <c r="E24" s="3">
        <f>$B$24*E23</f>
        <v>0</v>
      </c>
      <c r="F24" s="3">
        <f t="shared" ref="F24:N24" si="10">$B$24*F23</f>
        <v>0</v>
      </c>
      <c r="G24" s="3">
        <f t="shared" si="10"/>
        <v>0</v>
      </c>
      <c r="H24" s="3">
        <f t="shared" si="10"/>
        <v>0</v>
      </c>
      <c r="I24" s="3">
        <f t="shared" si="10"/>
        <v>0</v>
      </c>
      <c r="J24" s="3">
        <f t="shared" si="10"/>
        <v>0</v>
      </c>
      <c r="K24" s="3">
        <f t="shared" si="10"/>
        <v>0</v>
      </c>
      <c r="L24" s="3">
        <f t="shared" si="10"/>
        <v>0</v>
      </c>
      <c r="M24" s="3">
        <f t="shared" si="10"/>
        <v>0</v>
      </c>
      <c r="N24" s="3">
        <f t="shared" si="10"/>
        <v>0</v>
      </c>
    </row>
    <row r="25" spans="1:20" x14ac:dyDescent="0.2">
      <c r="A25" t="s">
        <v>130</v>
      </c>
      <c r="B25" s="37">
        <v>7.0000000000000007E-2</v>
      </c>
      <c r="C25" t="s">
        <v>23</v>
      </c>
      <c r="E25" s="3">
        <f>$B$25*E23</f>
        <v>410997.76793589274</v>
      </c>
      <c r="F25" s="3">
        <f t="shared" ref="F25:N25" si="11">$B$25*F23</f>
        <v>1028081.5595082117</v>
      </c>
      <c r="G25" s="3">
        <f t="shared" si="11"/>
        <v>1245792.9485805391</v>
      </c>
      <c r="H25" s="3">
        <f t="shared" si="11"/>
        <v>1283166.7370379551</v>
      </c>
      <c r="I25" s="3">
        <f t="shared" si="11"/>
        <v>1321661.7391490939</v>
      </c>
      <c r="J25" s="3">
        <f t="shared" si="11"/>
        <v>1361311.5913235666</v>
      </c>
      <c r="K25" s="3">
        <f t="shared" si="11"/>
        <v>1402150.9390632734</v>
      </c>
      <c r="L25" s="3">
        <f t="shared" si="11"/>
        <v>1444215.4672351719</v>
      </c>
      <c r="M25" s="3">
        <f t="shared" si="11"/>
        <v>1487541.9312522267</v>
      </c>
      <c r="N25" s="3">
        <f t="shared" si="11"/>
        <v>1532168.1891897938</v>
      </c>
    </row>
    <row r="26" spans="1:20" s="2" customFormat="1" x14ac:dyDescent="0.2">
      <c r="A26" s="2" t="s">
        <v>24</v>
      </c>
      <c r="E26" s="8">
        <f>SUM(E23:E25)</f>
        <v>6282394.4527343595</v>
      </c>
      <c r="F26" s="8">
        <f t="shared" ref="F26:N26" si="12">SUM(F23:F25)</f>
        <v>15714960.981054092</v>
      </c>
      <c r="G26" s="8">
        <f t="shared" si="12"/>
        <v>19042835.071159668</v>
      </c>
      <c r="H26" s="8">
        <f t="shared" si="12"/>
        <v>19614120.123294458</v>
      </c>
      <c r="I26" s="8">
        <f t="shared" si="12"/>
        <v>20202543.726993289</v>
      </c>
      <c r="J26" s="8">
        <f t="shared" si="12"/>
        <v>20808620.038803086</v>
      </c>
      <c r="K26" s="8">
        <f t="shared" si="12"/>
        <v>21432878.639967177</v>
      </c>
      <c r="L26" s="8">
        <f t="shared" si="12"/>
        <v>22075864.999166194</v>
      </c>
      <c r="M26" s="8">
        <f t="shared" si="12"/>
        <v>22738140.949141178</v>
      </c>
      <c r="N26" s="8">
        <f t="shared" si="12"/>
        <v>23420285.177615419</v>
      </c>
      <c r="P26"/>
      <c r="Q26"/>
      <c r="R26"/>
      <c r="T26" s="318"/>
    </row>
    <row r="27" spans="1:20" x14ac:dyDescent="0.2">
      <c r="A27" t="s">
        <v>124</v>
      </c>
      <c r="B27" s="37">
        <v>1</v>
      </c>
      <c r="C27" t="s">
        <v>144</v>
      </c>
      <c r="E27" s="3">
        <f>$B$27*E23</f>
        <v>5871396.684798467</v>
      </c>
      <c r="F27" s="3">
        <f>$B$27*F23</f>
        <v>14686879.42154588</v>
      </c>
      <c r="G27" s="3">
        <f t="shared" ref="G27:N27" si="13">$B$27*G23</f>
        <v>17797042.122579128</v>
      </c>
      <c r="H27" s="3">
        <f t="shared" si="13"/>
        <v>18330953.386256501</v>
      </c>
      <c r="I27" s="3">
        <f t="shared" si="13"/>
        <v>18880881.987844195</v>
      </c>
      <c r="J27" s="3">
        <f t="shared" si="13"/>
        <v>19447308.44747952</v>
      </c>
      <c r="K27" s="3">
        <f t="shared" si="13"/>
        <v>20030727.700903904</v>
      </c>
      <c r="L27" s="3">
        <f t="shared" si="13"/>
        <v>20631649.531931024</v>
      </c>
      <c r="M27" s="3">
        <f t="shared" si="13"/>
        <v>21250599.017888952</v>
      </c>
      <c r="N27" s="3">
        <f t="shared" si="13"/>
        <v>21888116.988425624</v>
      </c>
    </row>
    <row r="28" spans="1:20" x14ac:dyDescent="0.2">
      <c r="A28" t="s">
        <v>25</v>
      </c>
      <c r="B28" s="38">
        <v>0</v>
      </c>
      <c r="C28" t="s">
        <v>368</v>
      </c>
      <c r="D28" s="94">
        <v>1575</v>
      </c>
      <c r="E28" s="3">
        <f>$B28*$D28*(1+E$18)*(1+$N$5)^3*E14/365</f>
        <v>0</v>
      </c>
      <c r="F28" s="3">
        <f>$B28*$D28*(1+F$18)*(1+$N$5)^4</f>
        <v>0</v>
      </c>
      <c r="G28" s="3">
        <f>$B28*$D28*(1+G$18)*(1+$N$5)^5</f>
        <v>0</v>
      </c>
      <c r="H28" s="3">
        <f>$B28*$D28*(1+H$18)*(1+$N$5)^6</f>
        <v>0</v>
      </c>
      <c r="I28" s="3">
        <f>$B28*$D28*(1+I$18)*(1+$N$5)^7</f>
        <v>0</v>
      </c>
      <c r="J28" s="3">
        <f>$B28*$D28*(1+J$18)*(1+$N$5)^8</f>
        <v>0</v>
      </c>
      <c r="K28" s="3">
        <f>$B28*$D28*(1+K$18)*(1+$N$5)^9</f>
        <v>0</v>
      </c>
      <c r="L28" s="3">
        <f>$B28*$D28*(1+L$18)*(1+$N$5)^10</f>
        <v>0</v>
      </c>
      <c r="M28" s="3">
        <f>$B28*$D28*(1+M$18)*(1+$N$5)^11</f>
        <v>0</v>
      </c>
      <c r="N28" s="3">
        <f>$B28*$D28*(1+N$18)*(1+$N$5)^12</f>
        <v>0</v>
      </c>
    </row>
    <row r="29" spans="1:20" s="2" customFormat="1" x14ac:dyDescent="0.2">
      <c r="A29" s="2" t="s">
        <v>26</v>
      </c>
      <c r="D29" s="8"/>
      <c r="E29" s="8">
        <f>SUM(E27:E28)</f>
        <v>5871396.684798467</v>
      </c>
      <c r="F29" s="8">
        <f t="shared" ref="F29:N29" si="14">SUM(F27:F28)</f>
        <v>14686879.42154588</v>
      </c>
      <c r="G29" s="8">
        <f t="shared" si="14"/>
        <v>17797042.122579128</v>
      </c>
      <c r="H29" s="8">
        <f t="shared" si="14"/>
        <v>18330953.386256501</v>
      </c>
      <c r="I29" s="8">
        <f t="shared" si="14"/>
        <v>18880881.987844195</v>
      </c>
      <c r="J29" s="8">
        <f t="shared" si="14"/>
        <v>19447308.44747952</v>
      </c>
      <c r="K29" s="8">
        <f t="shared" si="14"/>
        <v>20030727.700903904</v>
      </c>
      <c r="L29" s="8">
        <f t="shared" si="14"/>
        <v>20631649.531931024</v>
      </c>
      <c r="M29" s="8">
        <f t="shared" si="14"/>
        <v>21250599.017888952</v>
      </c>
      <c r="N29" s="8">
        <f t="shared" si="14"/>
        <v>21888116.988425624</v>
      </c>
      <c r="P29"/>
      <c r="Q29"/>
      <c r="R29"/>
      <c r="T29" s="318"/>
    </row>
    <row r="30" spans="1:20" x14ac:dyDescent="0.2">
      <c r="A30" t="s">
        <v>27</v>
      </c>
      <c r="B30" s="69">
        <v>0</v>
      </c>
      <c r="C30" t="str">
        <f>C28</f>
        <v>Rental (AED psm)</v>
      </c>
      <c r="D30" s="94">
        <v>0</v>
      </c>
      <c r="E30" s="3">
        <f>$B30*$D30*(1+E$18)*(1+$N$5)^3*E14/365</f>
        <v>0</v>
      </c>
      <c r="F30" s="3">
        <f>$B30*$D30*(1+F$18)*(1+$N$5)^4</f>
        <v>0</v>
      </c>
      <c r="G30" s="3">
        <f>$B30*$D30*(1+G$18)*(1+$N$5)^5</f>
        <v>0</v>
      </c>
      <c r="H30" s="3">
        <f>$B30*$D30*(1+H$18)*(1+$N$5)^6</f>
        <v>0</v>
      </c>
      <c r="I30" s="3">
        <f>$B30*$D30*(1+I$18)*(1+$N$5)^7</f>
        <v>0</v>
      </c>
      <c r="J30" s="3">
        <f>$B30*$D30*(1+J$18)*(1+$N$5)^8</f>
        <v>0</v>
      </c>
      <c r="K30" s="3">
        <f>$B30*$D30*(1+K$18)*(1+$N$5)^9</f>
        <v>0</v>
      </c>
      <c r="L30" s="3">
        <f>$B30*$D30*(1+L$18)*(1+$N$5)^10</f>
        <v>0</v>
      </c>
      <c r="M30" s="3">
        <f>$B30*$D30*(1+M$18)*(1+$N$5)^11</f>
        <v>0</v>
      </c>
      <c r="N30" s="3">
        <f>$B30*$D30*(1+N$18)*(1+$N$5)^12</f>
        <v>0</v>
      </c>
    </row>
    <row r="31" spans="1:20" x14ac:dyDescent="0.2">
      <c r="A31" t="s">
        <v>28</v>
      </c>
      <c r="B31" s="38">
        <v>1350</v>
      </c>
      <c r="C31" t="str">
        <f>C30</f>
        <v>Rental (AED psm)</v>
      </c>
      <c r="D31" s="94">
        <v>100</v>
      </c>
      <c r="E31" s="3">
        <f>$B31*$D31*(1+E$18)*(1+$N$5)^3*E14/365</f>
        <v>51631.350749999998</v>
      </c>
      <c r="F31" s="3">
        <f>$B31*$D31*(1+F$18)*(1+$N$5)^4</f>
        <v>129152.13594749999</v>
      </c>
      <c r="G31" s="3">
        <f>$B31*$D31*(1+G$18)*(1+$N$5)^5</f>
        <v>156502.00003049997</v>
      </c>
      <c r="H31" s="3">
        <f>$B31*$D31*(1+H$18)*(1+$N$5)^6</f>
        <v>161197.06003141499</v>
      </c>
      <c r="I31" s="3">
        <f>$B31*$D31*(1+I$18)*(1+$N$5)^7</f>
        <v>166032.97183235743</v>
      </c>
      <c r="J31" s="3">
        <f>$B31*$D31*(1+J$18)*(1+$N$5)^8</f>
        <v>171013.96098732814</v>
      </c>
      <c r="K31" s="3">
        <f>$B31*$D31*(1+K$18)*(1+$N$5)^9</f>
        <v>176144.379816948</v>
      </c>
      <c r="L31" s="3">
        <f>$B31*$D31*(1+L$18)*(1+$N$5)^10</f>
        <v>181428.71121145645</v>
      </c>
      <c r="M31" s="3">
        <f>$B31*$D31*(1+M$18)*(1+$N$5)^11</f>
        <v>186871.57254780014</v>
      </c>
      <c r="N31" s="3">
        <f>$B31*$D31*(1+N$18)*(1+$N$5)^12</f>
        <v>192477.71972423411</v>
      </c>
    </row>
    <row r="32" spans="1:20" x14ac:dyDescent="0.2">
      <c r="A32" t="s">
        <v>29</v>
      </c>
      <c r="B32" s="38">
        <v>0</v>
      </c>
      <c r="C32" t="str">
        <f>C31</f>
        <v>Rental (AED psm)</v>
      </c>
      <c r="D32" s="94">
        <v>0</v>
      </c>
      <c r="E32" s="3">
        <f>$B32*$D32*(1+E$18)*(1+$N$5)^3*E14/365</f>
        <v>0</v>
      </c>
      <c r="F32" s="3">
        <f>$B32*$D32*(1+F$18)*(1+$N$5)^4</f>
        <v>0</v>
      </c>
      <c r="G32" s="3">
        <f>$B32*$D32*(1+G$18)*(1+$N$5)^5</f>
        <v>0</v>
      </c>
      <c r="H32" s="3">
        <f>$B32*$D32*(1+H$18)*(1+$N$5)^6</f>
        <v>0</v>
      </c>
      <c r="I32" s="3">
        <f>$B32*$D32*(1+I$18)*(1+$N$5)^7</f>
        <v>0</v>
      </c>
      <c r="J32" s="3">
        <f>$B32*$D32*(1+J$18)*(1+$N$5)^8</f>
        <v>0</v>
      </c>
      <c r="K32" s="3">
        <f>$B32*$D32*(1+K$18)*(1+$N$5)^9</f>
        <v>0</v>
      </c>
      <c r="L32" s="3">
        <f>$B32*$D32*(1+L$18)*(1+$N$5)^10</f>
        <v>0</v>
      </c>
      <c r="M32" s="3">
        <f>$B32*$D32*(1+M$18)*(1+$N$5)^11</f>
        <v>0</v>
      </c>
      <c r="N32" s="3">
        <f>$B32*$D32*(1+N$18)*(1+$N$5)^12</f>
        <v>0</v>
      </c>
    </row>
    <row r="33" spans="1:30" x14ac:dyDescent="0.2">
      <c r="A33" t="s">
        <v>131</v>
      </c>
      <c r="B33" s="329">
        <v>5000000</v>
      </c>
      <c r="C33" t="s">
        <v>30</v>
      </c>
      <c r="E33" s="3">
        <f>$B$33*(1+E$18)*(1+$N$6)^3*E14/365</f>
        <v>1912272.25</v>
      </c>
      <c r="F33" s="3">
        <f>$B$33*(1+F$18)*(1+$N$6)^4</f>
        <v>4783412.4424999999</v>
      </c>
      <c r="G33" s="3">
        <f>$B$33*(1+G$18)*(1+$N$6)^5</f>
        <v>5796370.3714999994</v>
      </c>
      <c r="H33" s="3">
        <f>$B$33*(1+H$18)*(1+$N$6)^6</f>
        <v>5970261.4826449994</v>
      </c>
      <c r="I33" s="3">
        <f>$B$33*(1+I$18)*(1+$N$6)^7</f>
        <v>6149369.3271243498</v>
      </c>
      <c r="J33" s="3">
        <f>$B$33*(1+J$18)*(1+$N$6)^8</f>
        <v>6333850.4069380797</v>
      </c>
      <c r="K33" s="3">
        <f>$B$33*(1+K$18)*(1+$N$6)^9</f>
        <v>6523865.9191462221</v>
      </c>
      <c r="L33" s="3">
        <f>$B$33*(1+L$18)*(1+$N$6)^10</f>
        <v>6719581.8967206087</v>
      </c>
      <c r="M33" s="3">
        <f>$B$33*(1+M$18)*(1+$N$6)^11</f>
        <v>6921169.353622227</v>
      </c>
      <c r="N33" s="3">
        <f>$B$33*(1+N$18)*(1+$N$6)^12</f>
        <v>7128804.4342308929</v>
      </c>
    </row>
    <row r="34" spans="1:30" x14ac:dyDescent="0.2">
      <c r="A34" t="s">
        <v>31</v>
      </c>
      <c r="B34" s="37">
        <v>0</v>
      </c>
      <c r="C34" t="s">
        <v>23</v>
      </c>
      <c r="E34" s="3">
        <f>$B$34*E23</f>
        <v>0</v>
      </c>
      <c r="F34" s="3">
        <f t="shared" ref="F34:N34" si="15">$B$34*F23</f>
        <v>0</v>
      </c>
      <c r="G34" s="3">
        <f t="shared" si="15"/>
        <v>0</v>
      </c>
      <c r="H34" s="3">
        <f t="shared" si="15"/>
        <v>0</v>
      </c>
      <c r="I34" s="3">
        <f t="shared" si="15"/>
        <v>0</v>
      </c>
      <c r="J34" s="3">
        <f t="shared" si="15"/>
        <v>0</v>
      </c>
      <c r="K34" s="3">
        <f t="shared" si="15"/>
        <v>0</v>
      </c>
      <c r="L34" s="3">
        <f t="shared" si="15"/>
        <v>0</v>
      </c>
      <c r="M34" s="3">
        <f t="shared" si="15"/>
        <v>0</v>
      </c>
      <c r="N34" s="3">
        <f t="shared" si="15"/>
        <v>0</v>
      </c>
    </row>
    <row r="35" spans="1:30" x14ac:dyDescent="0.2">
      <c r="A35" s="2" t="s">
        <v>32</v>
      </c>
      <c r="B35" s="8"/>
      <c r="E35" s="8">
        <f>SUM(E30:E34)</f>
        <v>1963903.60075</v>
      </c>
      <c r="F35" s="8">
        <f t="shared" ref="F35:N35" si="16">SUM(F30:F34)</f>
        <v>4912564.5784475002</v>
      </c>
      <c r="G35" s="8">
        <f t="shared" si="16"/>
        <v>5952872.3715304993</v>
      </c>
      <c r="H35" s="8">
        <f t="shared" si="16"/>
        <v>6131458.5426764144</v>
      </c>
      <c r="I35" s="8">
        <f t="shared" si="16"/>
        <v>6315402.2989567071</v>
      </c>
      <c r="J35" s="8">
        <f t="shared" si="16"/>
        <v>6504864.3679254083</v>
      </c>
      <c r="K35" s="8">
        <f t="shared" si="16"/>
        <v>6700010.2989631705</v>
      </c>
      <c r="L35" s="8">
        <f t="shared" si="16"/>
        <v>6901010.6079320647</v>
      </c>
      <c r="M35" s="8">
        <f t="shared" si="16"/>
        <v>7108040.9261700269</v>
      </c>
      <c r="N35" s="8">
        <f t="shared" si="16"/>
        <v>7321282.1539551271</v>
      </c>
    </row>
    <row r="36" spans="1:30" x14ac:dyDescent="0.2">
      <c r="A36" s="2" t="s">
        <v>33</v>
      </c>
      <c r="B36" s="2"/>
      <c r="E36" s="8">
        <f>E26+E29+E35</f>
        <v>14117694.738282826</v>
      </c>
      <c r="F36" s="8">
        <f t="shared" ref="F36:N36" si="17">F26+F29+F35</f>
        <v>35314404.981047474</v>
      </c>
      <c r="G36" s="8">
        <f t="shared" si="17"/>
        <v>42792749.565269291</v>
      </c>
      <c r="H36" s="8">
        <f t="shared" si="17"/>
        <v>44076532.05222737</v>
      </c>
      <c r="I36" s="8">
        <f t="shared" si="17"/>
        <v>45398828.013794191</v>
      </c>
      <c r="J36" s="8">
        <f t="shared" si="17"/>
        <v>46760792.854208007</v>
      </c>
      <c r="K36" s="8">
        <f t="shared" si="17"/>
        <v>48163616.639834255</v>
      </c>
      <c r="L36" s="8">
        <f t="shared" si="17"/>
        <v>49608525.139029279</v>
      </c>
      <c r="M36" s="8">
        <f t="shared" si="17"/>
        <v>51096780.893200159</v>
      </c>
      <c r="N36" s="8">
        <f t="shared" si="17"/>
        <v>52629684.319996171</v>
      </c>
      <c r="Q36" s="317" t="s">
        <v>33</v>
      </c>
      <c r="R36" s="317"/>
      <c r="S36" s="317"/>
      <c r="U36" s="317">
        <v>37059186.376644</v>
      </c>
      <c r="V36" s="317">
        <v>92700907.63643378</v>
      </c>
      <c r="W36" s="317">
        <v>112331688.07709035</v>
      </c>
      <c r="X36" s="317">
        <v>115701638.71940307</v>
      </c>
      <c r="Y36" s="317">
        <v>119172687.88098519</v>
      </c>
      <c r="Z36" s="317">
        <v>122747868.51741472</v>
      </c>
      <c r="AA36" s="317">
        <v>126430304.57293718</v>
      </c>
      <c r="AB36" s="317">
        <v>130223213.7101253</v>
      </c>
      <c r="AC36" s="317">
        <v>134129910.12142906</v>
      </c>
      <c r="AD36" s="317">
        <v>138153807.42507192</v>
      </c>
    </row>
    <row r="37" spans="1:30" x14ac:dyDescent="0.2">
      <c r="A37" s="3"/>
      <c r="B37" s="3"/>
    </row>
    <row r="38" spans="1:30" x14ac:dyDescent="0.2">
      <c r="A38" s="6" t="s">
        <v>34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30" x14ac:dyDescent="0.2">
      <c r="A39" s="3" t="s">
        <v>35</v>
      </c>
      <c r="B39" s="37">
        <v>0.15</v>
      </c>
      <c r="C39" t="s">
        <v>74</v>
      </c>
      <c r="E39" s="3">
        <f>$B$39*(E23+E24)</f>
        <v>880709.50271977007</v>
      </c>
      <c r="F39" s="3">
        <f t="shared" ref="F39:N39" si="18">$B$39*(F23+F24)</f>
        <v>2203031.9132318818</v>
      </c>
      <c r="G39" s="3">
        <f t="shared" si="18"/>
        <v>2669556.318386869</v>
      </c>
      <c r="H39" s="3">
        <f t="shared" si="18"/>
        <v>2749643.0079384749</v>
      </c>
      <c r="I39" s="3">
        <f t="shared" si="18"/>
        <v>2832132.298176629</v>
      </c>
      <c r="J39" s="3">
        <f t="shared" si="18"/>
        <v>2917096.2671219278</v>
      </c>
      <c r="K39" s="3">
        <f t="shared" si="18"/>
        <v>3004609.1551355855</v>
      </c>
      <c r="L39" s="3">
        <f t="shared" si="18"/>
        <v>3094747.4297896535</v>
      </c>
      <c r="M39" s="3">
        <f t="shared" si="18"/>
        <v>3187589.8526833425</v>
      </c>
      <c r="N39" s="3">
        <f t="shared" si="18"/>
        <v>3283217.5482638436</v>
      </c>
    </row>
    <row r="40" spans="1:30" x14ac:dyDescent="0.2">
      <c r="A40" s="3" t="s">
        <v>133</v>
      </c>
      <c r="B40" s="93">
        <v>255000</v>
      </c>
      <c r="C40" t="s">
        <v>145</v>
      </c>
      <c r="E40" s="3">
        <f>$B$40*$E$3*(1+$N$6)^3</f>
        <v>1022628.5629500001</v>
      </c>
      <c r="F40" s="3">
        <f>$B$40*$E$3*(1+$N$6)^4</f>
        <v>1053307.4198385</v>
      </c>
      <c r="G40" s="3">
        <f>$B$40*$E$3*(1+$N$6)^5</f>
        <v>1084906.6424336547</v>
      </c>
      <c r="H40" s="3">
        <f>$B$40*$E$3*(1+$N$6)^6</f>
        <v>1117453.8417066645</v>
      </c>
      <c r="I40" s="3">
        <f>$B$40*$E$3*(1+$N$6)^7</f>
        <v>1150977.4569578646</v>
      </c>
      <c r="J40" s="3">
        <f>$B$40*$E$3*(1+$N$6)^8</f>
        <v>1185506.7806666004</v>
      </c>
      <c r="K40" s="3">
        <f>$B$40*$E$3*(1+$N$6)^9</f>
        <v>1221071.9840865985</v>
      </c>
      <c r="L40" s="3">
        <f>$B$40*$E$3*(1+$N$6)^10</f>
        <v>1257704.1436091964</v>
      </c>
      <c r="M40" s="3">
        <f>$B$40*$E$3*(1+$N$6)^11</f>
        <v>1295435.2679174724</v>
      </c>
      <c r="N40" s="3">
        <f>$B$40*$E$3*(1+$N$6)^12</f>
        <v>1334298.3259549963</v>
      </c>
    </row>
    <row r="41" spans="1:30" x14ac:dyDescent="0.2">
      <c r="A41" s="3" t="s">
        <v>80</v>
      </c>
      <c r="B41" s="37">
        <v>0.5</v>
      </c>
      <c r="C41" t="s">
        <v>73</v>
      </c>
      <c r="E41" s="3">
        <f>$B$41*E25</f>
        <v>205498.88396794637</v>
      </c>
      <c r="F41" s="3">
        <f t="shared" ref="F41:N41" si="19">$B$41*F25</f>
        <v>514040.77975410584</v>
      </c>
      <c r="G41" s="3">
        <f t="shared" si="19"/>
        <v>622896.47429026954</v>
      </c>
      <c r="H41" s="3">
        <f t="shared" si="19"/>
        <v>641583.36851897754</v>
      </c>
      <c r="I41" s="3">
        <f t="shared" si="19"/>
        <v>660830.86957454693</v>
      </c>
      <c r="J41" s="3">
        <f t="shared" si="19"/>
        <v>680655.79566178331</v>
      </c>
      <c r="K41" s="3">
        <f t="shared" si="19"/>
        <v>701075.46953163669</v>
      </c>
      <c r="L41" s="3">
        <f t="shared" si="19"/>
        <v>722107.73361758597</v>
      </c>
      <c r="M41" s="3">
        <f t="shared" si="19"/>
        <v>743770.96562611335</v>
      </c>
      <c r="N41" s="3">
        <f t="shared" si="19"/>
        <v>766084.09459489689</v>
      </c>
    </row>
    <row r="42" spans="1:30" x14ac:dyDescent="0.2">
      <c r="A42" t="s">
        <v>36</v>
      </c>
      <c r="B42" s="37">
        <v>0.65</v>
      </c>
      <c r="C42" t="s">
        <v>37</v>
      </c>
      <c r="E42" s="3">
        <f>$B$42*E29</f>
        <v>3816407.8451190037</v>
      </c>
      <c r="F42" s="3">
        <f t="shared" ref="F42:N42" si="20">$B$42*F29</f>
        <v>9546471.6240048222</v>
      </c>
      <c r="G42" s="3">
        <f t="shared" si="20"/>
        <v>11568077.379676433</v>
      </c>
      <c r="H42" s="3">
        <f t="shared" si="20"/>
        <v>11915119.701066727</v>
      </c>
      <c r="I42" s="3">
        <f t="shared" si="20"/>
        <v>12272573.292098727</v>
      </c>
      <c r="J42" s="3">
        <f t="shared" si="20"/>
        <v>12640750.490861688</v>
      </c>
      <c r="K42" s="3">
        <f t="shared" si="20"/>
        <v>13019973.005587539</v>
      </c>
      <c r="L42" s="3">
        <f t="shared" si="20"/>
        <v>13410572.195755167</v>
      </c>
      <c r="M42" s="3">
        <f t="shared" si="20"/>
        <v>13812889.361627819</v>
      </c>
      <c r="N42" s="3">
        <f t="shared" si="20"/>
        <v>14227276.042476656</v>
      </c>
    </row>
    <row r="43" spans="1:30" x14ac:dyDescent="0.2">
      <c r="A43" s="3" t="s">
        <v>27</v>
      </c>
      <c r="B43" s="37">
        <v>0.1</v>
      </c>
      <c r="C43" t="s">
        <v>79</v>
      </c>
      <c r="E43" s="3">
        <f>$B$43*E30</f>
        <v>0</v>
      </c>
      <c r="F43" s="3">
        <f t="shared" ref="F43:N43" si="21">$B$43*F30</f>
        <v>0</v>
      </c>
      <c r="G43" s="3">
        <f t="shared" si="21"/>
        <v>0</v>
      </c>
      <c r="H43" s="3">
        <f t="shared" si="21"/>
        <v>0</v>
      </c>
      <c r="I43" s="3">
        <f t="shared" si="21"/>
        <v>0</v>
      </c>
      <c r="J43" s="3">
        <f t="shared" si="21"/>
        <v>0</v>
      </c>
      <c r="K43" s="3">
        <f t="shared" si="21"/>
        <v>0</v>
      </c>
      <c r="L43" s="3">
        <f t="shared" si="21"/>
        <v>0</v>
      </c>
      <c r="M43" s="3">
        <f t="shared" si="21"/>
        <v>0</v>
      </c>
      <c r="N43" s="3">
        <f t="shared" si="21"/>
        <v>0</v>
      </c>
    </row>
    <row r="44" spans="1:30" x14ac:dyDescent="0.2">
      <c r="A44" s="3" t="s">
        <v>28</v>
      </c>
      <c r="B44" s="37">
        <v>0.1</v>
      </c>
      <c r="C44" t="s">
        <v>78</v>
      </c>
      <c r="E44" s="3">
        <f>$B$44*E31</f>
        <v>5163.1350750000001</v>
      </c>
      <c r="F44" s="3">
        <f t="shared" ref="F44:N44" si="22">$B$44*F31</f>
        <v>12915.213594749999</v>
      </c>
      <c r="G44" s="3">
        <f t="shared" si="22"/>
        <v>15650.200003049998</v>
      </c>
      <c r="H44" s="3">
        <f t="shared" si="22"/>
        <v>16119.7060031415</v>
      </c>
      <c r="I44" s="3">
        <f t="shared" si="22"/>
        <v>16603.297183235743</v>
      </c>
      <c r="J44" s="3">
        <f t="shared" si="22"/>
        <v>17101.396098732814</v>
      </c>
      <c r="K44" s="3">
        <f t="shared" si="22"/>
        <v>17614.437981694802</v>
      </c>
      <c r="L44" s="3">
        <f t="shared" si="22"/>
        <v>18142.871121145647</v>
      </c>
      <c r="M44" s="3">
        <f t="shared" si="22"/>
        <v>18687.157254780013</v>
      </c>
      <c r="N44" s="3">
        <f t="shared" si="22"/>
        <v>19247.771972423412</v>
      </c>
    </row>
    <row r="45" spans="1:30" x14ac:dyDescent="0.2">
      <c r="A45" s="3" t="s">
        <v>29</v>
      </c>
      <c r="B45" s="37">
        <v>0.1</v>
      </c>
      <c r="C45" t="s">
        <v>77</v>
      </c>
      <c r="E45" s="3">
        <f>$B$45*E32</f>
        <v>0</v>
      </c>
      <c r="F45" s="3">
        <f t="shared" ref="F45:N45" si="23">$B$45*F32</f>
        <v>0</v>
      </c>
      <c r="G45" s="3">
        <f t="shared" si="23"/>
        <v>0</v>
      </c>
      <c r="H45" s="3">
        <f t="shared" si="23"/>
        <v>0</v>
      </c>
      <c r="I45" s="3">
        <f t="shared" si="23"/>
        <v>0</v>
      </c>
      <c r="J45" s="3">
        <f t="shared" si="23"/>
        <v>0</v>
      </c>
      <c r="K45" s="3">
        <f t="shared" si="23"/>
        <v>0</v>
      </c>
      <c r="L45" s="3">
        <f t="shared" si="23"/>
        <v>0</v>
      </c>
      <c r="M45" s="3">
        <f t="shared" si="23"/>
        <v>0</v>
      </c>
      <c r="N45" s="3">
        <f t="shared" si="23"/>
        <v>0</v>
      </c>
    </row>
    <row r="46" spans="1:30" x14ac:dyDescent="0.2">
      <c r="A46" s="3" t="s">
        <v>132</v>
      </c>
      <c r="B46" s="319">
        <v>0.1</v>
      </c>
      <c r="C46" t="s">
        <v>76</v>
      </c>
      <c r="E46" s="3">
        <f>$B$46*E33</f>
        <v>191227.22500000001</v>
      </c>
      <c r="F46" s="3">
        <f t="shared" ref="F46:N46" si="24">$B$46*F33</f>
        <v>478341.24424999999</v>
      </c>
      <c r="G46" s="3">
        <f t="shared" si="24"/>
        <v>579637.03714999999</v>
      </c>
      <c r="H46" s="3">
        <f t="shared" si="24"/>
        <v>597026.14826449996</v>
      </c>
      <c r="I46" s="3">
        <f t="shared" si="24"/>
        <v>614936.93271243502</v>
      </c>
      <c r="J46" s="3">
        <f t="shared" si="24"/>
        <v>633385.040693808</v>
      </c>
      <c r="K46" s="3">
        <f t="shared" si="24"/>
        <v>652386.59191462223</v>
      </c>
      <c r="L46" s="3">
        <f t="shared" si="24"/>
        <v>671958.18967206089</v>
      </c>
      <c r="M46" s="3">
        <f t="shared" si="24"/>
        <v>692116.93536222272</v>
      </c>
      <c r="N46" s="3">
        <f t="shared" si="24"/>
        <v>712880.44342308934</v>
      </c>
    </row>
    <row r="47" spans="1:30" x14ac:dyDescent="0.2">
      <c r="A47" s="3" t="s">
        <v>31</v>
      </c>
      <c r="B47" s="37">
        <v>0.2</v>
      </c>
      <c r="C47" t="s">
        <v>75</v>
      </c>
      <c r="E47" s="3">
        <f>$B$47*E34</f>
        <v>0</v>
      </c>
      <c r="F47" s="3">
        <f t="shared" ref="F47:N47" si="25">$B$47*F34</f>
        <v>0</v>
      </c>
      <c r="G47" s="3">
        <f t="shared" si="25"/>
        <v>0</v>
      </c>
      <c r="H47" s="3">
        <f t="shared" si="25"/>
        <v>0</v>
      </c>
      <c r="I47" s="3">
        <f t="shared" si="25"/>
        <v>0</v>
      </c>
      <c r="J47" s="3">
        <f t="shared" si="25"/>
        <v>0</v>
      </c>
      <c r="K47" s="3">
        <f t="shared" si="25"/>
        <v>0</v>
      </c>
      <c r="L47" s="3">
        <f t="shared" si="25"/>
        <v>0</v>
      </c>
      <c r="M47" s="3">
        <f t="shared" si="25"/>
        <v>0</v>
      </c>
      <c r="N47" s="3">
        <f t="shared" si="25"/>
        <v>0</v>
      </c>
    </row>
    <row r="48" spans="1:30" x14ac:dyDescent="0.2">
      <c r="A48" s="8" t="s">
        <v>39</v>
      </c>
      <c r="B48" s="8"/>
      <c r="E48" s="8">
        <f t="shared" ref="E48:N48" si="26">SUM(E39:E47)</f>
        <v>6121635.1548317196</v>
      </c>
      <c r="F48" s="8">
        <f>SUM(F39:F47)</f>
        <v>13808108.19467406</v>
      </c>
      <c r="G48" s="8">
        <f t="shared" si="26"/>
        <v>16540724.051940277</v>
      </c>
      <c r="H48" s="8">
        <f t="shared" si="26"/>
        <v>17036945.773498487</v>
      </c>
      <c r="I48" s="8">
        <f t="shared" si="26"/>
        <v>17548054.146703437</v>
      </c>
      <c r="J48" s="8">
        <f t="shared" si="26"/>
        <v>18074495.771104541</v>
      </c>
      <c r="K48" s="8">
        <f t="shared" si="26"/>
        <v>18616730.644237678</v>
      </c>
      <c r="L48" s="8">
        <f t="shared" si="26"/>
        <v>19175232.563564807</v>
      </c>
      <c r="M48" s="8">
        <f t="shared" si="26"/>
        <v>19750489.540471751</v>
      </c>
      <c r="N48" s="8">
        <f t="shared" si="26"/>
        <v>20343004.226685904</v>
      </c>
      <c r="O48" s="2"/>
      <c r="Q48" s="317" t="s">
        <v>39</v>
      </c>
      <c r="R48" s="317"/>
      <c r="S48" s="317"/>
      <c r="U48" s="317">
        <v>16165681.848596659</v>
      </c>
      <c r="V48" s="317">
        <v>38932573.567220353</v>
      </c>
      <c r="W48" s="317">
        <v>46985664.444555208</v>
      </c>
      <c r="X48" s="317">
        <v>48395234.377891868</v>
      </c>
      <c r="Y48" s="317">
        <v>49847091.40922863</v>
      </c>
      <c r="Z48" s="317">
        <v>51342504.151505485</v>
      </c>
      <c r="AA48" s="317">
        <v>52882779.27605065</v>
      </c>
      <c r="AB48" s="317">
        <v>54469262.654332176</v>
      </c>
      <c r="AC48" s="317">
        <v>56103340.533962138</v>
      </c>
      <c r="AD48" s="317">
        <v>57786440.749980994</v>
      </c>
    </row>
    <row r="50" spans="1:30" x14ac:dyDescent="0.2">
      <c r="A50" s="6" t="s">
        <v>40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30" x14ac:dyDescent="0.2">
      <c r="A51" s="3" t="s">
        <v>35</v>
      </c>
      <c r="B51" s="3"/>
      <c r="E51" s="3">
        <f>E26-SUM(E39:E41)</f>
        <v>4173557.5030966429</v>
      </c>
      <c r="F51" s="3">
        <f t="shared" ref="F51:N51" si="27">F26-SUM(F39:F41)</f>
        <v>11944580.868229605</v>
      </c>
      <c r="G51" s="3">
        <f>G26-SUM(G39:G41)</f>
        <v>14665475.636048876</v>
      </c>
      <c r="H51" s="3">
        <f t="shared" si="27"/>
        <v>15105439.905130342</v>
      </c>
      <c r="I51" s="3">
        <f t="shared" si="27"/>
        <v>15558603.102284249</v>
      </c>
      <c r="J51" s="3">
        <f t="shared" si="27"/>
        <v>16025361.195352774</v>
      </c>
      <c r="K51" s="3">
        <f t="shared" si="27"/>
        <v>16506122.031213356</v>
      </c>
      <c r="L51" s="3">
        <f t="shared" si="27"/>
        <v>17001305.692149758</v>
      </c>
      <c r="M51" s="3">
        <f t="shared" si="27"/>
        <v>17511344.862914249</v>
      </c>
      <c r="N51" s="3">
        <f t="shared" si="27"/>
        <v>18036685.208801683</v>
      </c>
      <c r="Q51" s="317" t="s">
        <v>35</v>
      </c>
      <c r="R51" s="317"/>
      <c r="S51" s="317"/>
      <c r="U51" s="317">
        <v>12644457.893741772</v>
      </c>
      <c r="V51" s="317">
        <v>33133933.131114766</v>
      </c>
      <c r="W51" s="317">
        <v>40341984.848721489</v>
      </c>
      <c r="X51" s="317">
        <v>41552244.394183129</v>
      </c>
      <c r="Y51" s="317">
        <v>42798811.726008624</v>
      </c>
      <c r="Z51" s="317">
        <v>44082776.077788882</v>
      </c>
      <c r="AA51" s="317">
        <v>45405259.360122547</v>
      </c>
      <c r="AB51" s="317">
        <v>46767417.140926227</v>
      </c>
      <c r="AC51" s="317">
        <v>48170439.65515402</v>
      </c>
      <c r="AD51" s="317">
        <v>49615552.844808638</v>
      </c>
    </row>
    <row r="52" spans="1:30" x14ac:dyDescent="0.2">
      <c r="A52" t="s">
        <v>36</v>
      </c>
      <c r="B52" s="3"/>
      <c r="E52" s="3">
        <f>E29-E42</f>
        <v>2054988.8396794633</v>
      </c>
      <c r="F52" s="3">
        <f t="shared" ref="F52:N52" si="28">F29-F42</f>
        <v>5140407.7975410577</v>
      </c>
      <c r="G52" s="3">
        <f>G29-G42</f>
        <v>6228964.7429026943</v>
      </c>
      <c r="H52" s="3">
        <f t="shared" si="28"/>
        <v>6415833.6851897743</v>
      </c>
      <c r="I52" s="3">
        <f t="shared" si="28"/>
        <v>6608308.6957454681</v>
      </c>
      <c r="J52" s="3">
        <f t="shared" si="28"/>
        <v>6806557.9566178322</v>
      </c>
      <c r="K52" s="3">
        <f t="shared" si="28"/>
        <v>7010754.695316365</v>
      </c>
      <c r="L52" s="3">
        <f t="shared" si="28"/>
        <v>7221077.3361758571</v>
      </c>
      <c r="M52" s="3">
        <f t="shared" si="28"/>
        <v>7437709.656261133</v>
      </c>
      <c r="N52" s="3">
        <f t="shared" si="28"/>
        <v>7660840.9459489677</v>
      </c>
      <c r="Q52" s="317" t="s">
        <v>36</v>
      </c>
      <c r="R52" s="317"/>
      <c r="S52" s="317"/>
      <c r="U52" s="317">
        <v>5621010.8811305743</v>
      </c>
      <c r="V52" s="317">
        <v>14060557.218370907</v>
      </c>
      <c r="W52" s="317">
        <v>17038086.982261218</v>
      </c>
      <c r="X52" s="317">
        <v>17549229.59172906</v>
      </c>
      <c r="Y52" s="317">
        <v>18075706.47948093</v>
      </c>
      <c r="Z52" s="317">
        <v>18617977.673865356</v>
      </c>
      <c r="AA52" s="317">
        <v>19176517.004081316</v>
      </c>
      <c r="AB52" s="317">
        <v>19751812.514203757</v>
      </c>
      <c r="AC52" s="317">
        <v>20344366.889629871</v>
      </c>
      <c r="AD52" s="317">
        <v>20954697.896318771</v>
      </c>
    </row>
    <row r="53" spans="1:30" x14ac:dyDescent="0.2">
      <c r="A53" s="3" t="s">
        <v>38</v>
      </c>
      <c r="B53" s="3"/>
      <c r="E53" s="3">
        <f>E35-SUM(E43:E47)</f>
        <v>1767513.240675</v>
      </c>
      <c r="F53" s="3">
        <f t="shared" ref="F53:N53" si="29">F35-SUM(F43:F47)</f>
        <v>4421308.1206027502</v>
      </c>
      <c r="G53" s="3">
        <f>G35-SUM(G43:G47)</f>
        <v>5357585.1343774498</v>
      </c>
      <c r="H53" s="3">
        <f t="shared" si="29"/>
        <v>5518312.6884087734</v>
      </c>
      <c r="I53" s="3">
        <f t="shared" si="29"/>
        <v>5683862.0690610362</v>
      </c>
      <c r="J53" s="3">
        <f t="shared" si="29"/>
        <v>5854377.9311328679</v>
      </c>
      <c r="K53" s="3">
        <f t="shared" si="29"/>
        <v>6030009.2690668534</v>
      </c>
      <c r="L53" s="3">
        <f t="shared" si="29"/>
        <v>6210909.5471388586</v>
      </c>
      <c r="M53" s="3">
        <f t="shared" si="29"/>
        <v>6397236.8335530236</v>
      </c>
      <c r="N53" s="3">
        <f t="shared" si="29"/>
        <v>6589153.9385596141</v>
      </c>
      <c r="Q53" s="317" t="s">
        <v>38</v>
      </c>
      <c r="R53" s="317"/>
      <c r="S53" s="317"/>
      <c r="U53" s="317">
        <v>2628035.7531750002</v>
      </c>
      <c r="V53" s="317">
        <v>6573843.719727749</v>
      </c>
      <c r="W53" s="317">
        <v>7965951.8015524503</v>
      </c>
      <c r="X53" s="317">
        <v>8204930.3555990243</v>
      </c>
      <c r="Y53" s="317">
        <v>8451078.2662669942</v>
      </c>
      <c r="Z53" s="317">
        <v>8704610.6142550018</v>
      </c>
      <c r="AA53" s="317">
        <v>8965748.932682652</v>
      </c>
      <c r="AB53" s="317">
        <v>9234721.4006631337</v>
      </c>
      <c r="AC53" s="317">
        <v>9511763.0426830277</v>
      </c>
      <c r="AD53" s="317">
        <v>9797115.9339635167</v>
      </c>
    </row>
    <row r="54" spans="1:30" x14ac:dyDescent="0.2">
      <c r="A54" s="8" t="s">
        <v>41</v>
      </c>
      <c r="E54" s="8">
        <f>SUM(E51:E53)</f>
        <v>7996059.5834511071</v>
      </c>
      <c r="F54" s="8">
        <f>SUM(F51:F53)</f>
        <v>21506296.786373414</v>
      </c>
      <c r="G54" s="8">
        <f t="shared" ref="G54:N54" si="30">SUM(G51:G53)</f>
        <v>26252025.513329022</v>
      </c>
      <c r="H54" s="8">
        <f t="shared" si="30"/>
        <v>27039586.278728891</v>
      </c>
      <c r="I54" s="8">
        <f t="shared" si="30"/>
        <v>27850773.867090754</v>
      </c>
      <c r="J54" s="8">
        <f t="shared" si="30"/>
        <v>28686297.083103474</v>
      </c>
      <c r="K54" s="8">
        <f t="shared" si="30"/>
        <v>29546885.995596573</v>
      </c>
      <c r="L54" s="8">
        <f t="shared" si="30"/>
        <v>30433292.575464476</v>
      </c>
      <c r="M54" s="8">
        <f t="shared" si="30"/>
        <v>31346291.352728404</v>
      </c>
      <c r="N54" s="8">
        <f t="shared" si="30"/>
        <v>32286680.093310267</v>
      </c>
      <c r="Q54" s="317" t="s">
        <v>41</v>
      </c>
      <c r="R54" s="317"/>
      <c r="S54" s="317"/>
      <c r="U54" s="317">
        <v>20893504.528047349</v>
      </c>
      <c r="V54" s="317">
        <v>53768334.06921342</v>
      </c>
      <c r="W54" s="317">
        <v>65346023.63253516</v>
      </c>
      <c r="X54" s="317">
        <v>67306404.34151122</v>
      </c>
      <c r="Y54" s="317">
        <v>69325596.471756548</v>
      </c>
      <c r="Z54" s="317">
        <v>71405364.365909234</v>
      </c>
      <c r="AA54" s="317">
        <v>73547525.296886519</v>
      </c>
      <c r="AB54" s="317">
        <v>75753951.055793121</v>
      </c>
      <c r="AC54" s="317">
        <v>78026569.587466925</v>
      </c>
      <c r="AD54" s="317">
        <v>80367366.675090924</v>
      </c>
    </row>
    <row r="56" spans="1:30" x14ac:dyDescent="0.2">
      <c r="A56" s="6" t="s">
        <v>42</v>
      </c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30" x14ac:dyDescent="0.2">
      <c r="A57" s="2" t="s">
        <v>43</v>
      </c>
      <c r="B57" s="2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30" x14ac:dyDescent="0.2">
      <c r="A58" t="s">
        <v>110</v>
      </c>
      <c r="B58" s="345">
        <v>500000</v>
      </c>
      <c r="C58" t="s">
        <v>136</v>
      </c>
      <c r="D58" s="95" t="s">
        <v>137</v>
      </c>
      <c r="E58" s="3">
        <f>$B$58*$E$3</f>
        <v>1835000</v>
      </c>
      <c r="F58" s="3"/>
      <c r="G58" s="3"/>
      <c r="H58" s="3"/>
      <c r="I58" s="3"/>
      <c r="J58" s="3"/>
      <c r="K58" s="3"/>
      <c r="L58" s="3"/>
      <c r="M58" s="3"/>
      <c r="N58" s="3"/>
    </row>
    <row r="59" spans="1:30" x14ac:dyDescent="0.2">
      <c r="A59" t="s">
        <v>371</v>
      </c>
      <c r="B59" s="93">
        <v>500000</v>
      </c>
      <c r="C59" t="s">
        <v>134</v>
      </c>
      <c r="D59" s="96">
        <v>5000000</v>
      </c>
      <c r="E59" s="3">
        <f>$B$59*$E$3*(1+$N$6)^3</f>
        <v>2005154.0449999999</v>
      </c>
      <c r="F59" s="3">
        <f>$B$59*$E$3*(1+$N$6)^4</f>
        <v>2065308.6663499998</v>
      </c>
      <c r="G59" s="3">
        <f>$B$59*$E$3*(1+$N$6)^5</f>
        <v>2127267.9263404999</v>
      </c>
      <c r="H59" s="3">
        <f>$B$59*$E$3*(1+$N$6)^6</f>
        <v>2191085.964130715</v>
      </c>
      <c r="I59" s="3">
        <f>$B$59*$E$3*(1+$N$6)^7</f>
        <v>2256818.5430546366</v>
      </c>
      <c r="J59" s="3">
        <f>$B$59*$E$3*(1+$N$6)^8</f>
        <v>2324523.0993462754</v>
      </c>
      <c r="K59" s="3">
        <f>$B$59*$E$3*(1+$N$6)^9</f>
        <v>2394258.7923266636</v>
      </c>
      <c r="L59" s="3">
        <f>$B$59*$E$3*(1+$N$6)^10</f>
        <v>2466086.5560964635</v>
      </c>
      <c r="M59" s="3">
        <f>$B$59*$E$3*(1+$N$6)^11</f>
        <v>2540069.1527793575</v>
      </c>
      <c r="N59" s="3">
        <f>$B$59*$E$3*(1+$N$6)^12</f>
        <v>2616271.227362738</v>
      </c>
    </row>
    <row r="60" spans="1:30" x14ac:dyDescent="0.2">
      <c r="A60" t="s">
        <v>139</v>
      </c>
      <c r="B60" s="39">
        <v>7.0000000000000007E-2</v>
      </c>
      <c r="C60" t="s">
        <v>143</v>
      </c>
      <c r="D60" s="96">
        <v>10000000</v>
      </c>
      <c r="E60" s="3">
        <f>IF(E36&gt;$D$59*(1+$N$6)^3*$E$3,MIN((E36-$D$59*(1+$N$6)^3*$E$3)*$B$60,($D$60-$D$59)*(1+$N$6)^3*$E$3*$B$60),0)</f>
        <v>0</v>
      </c>
      <c r="F60" s="3">
        <f>IF(F36&gt;$D$59*(1+$N$6)^4*$E$3,MIN((F36-$D$59*(1+$N$6)^4*$E$3)*$B$60,($D$60-$D$59)*(1+$N$6)^4*$E$3*$B$60),0)</f>
        <v>1026292.2822283233</v>
      </c>
      <c r="G60" s="3">
        <f>IF(G36&gt;$D$59*(1+$N$6)^5*$E$3,MIN((G36-$D$59*(1+$N$6)^5*$E$3)*$B$60,($D$60-$D$59)*(1+$N$6)^5*$E$3*$B$60),0)</f>
        <v>1489087.54843835</v>
      </c>
      <c r="H60" s="3">
        <f>IF(H36&gt;$D$59*(1+$N$6)^6*$E$3,MIN((H36-$D$59*(1+$N$6)^6*$E$3)*$B$60,($D$60-$D$59)*(1+$N$6)^6*$E$3*$B$60),0)</f>
        <v>1533760.1748915005</v>
      </c>
      <c r="I60" s="3">
        <f>IF(I36&gt;$D$59*(1+$N$6)^7*$E$3,MIN((I36-$D$59*(1+$N$6)^7*$E$3)*$B$60,($D$60-$D$59)*(1+$N$6)^7*$E$3*$B$60),0)</f>
        <v>1579772.9801382455</v>
      </c>
      <c r="J60" s="3">
        <f>IF(J36&gt;$D$59*(1+$N$6)^8*$E$3,MIN((J36-$D$59*(1+$N$6)^8*$E$3)*$B$60,($D$60-$D$59)*(1+$N$6)^8*$E$3*$B$60),0)</f>
        <v>1627166.1695423929</v>
      </c>
      <c r="K60" s="3">
        <f>IF(K36&gt;$D$59*(1+$N$6)^9*$E$3,MIN((K36-$D$59*(1+$N$6)^9*$E$3)*$B$60,($D$60-$D$59)*(1+$N$6)^9*$E$3*$B$60),0)</f>
        <v>1675981.1546286645</v>
      </c>
      <c r="L60" s="3">
        <f>IF(L36&gt;$D$59*(1+$N$6)^10*$E$3,MIN((L36-$D$59*(1+$N$6)^10*$E$3)*$B$60,($D$60-$D$59)*(1+$N$6)^10*$E$3*$B$60),0)</f>
        <v>1726260.5892675244</v>
      </c>
      <c r="M60" s="3">
        <f>IF(M36&gt;$D$59*(1+$N$6)^11*$E$3,MIN((M36-$D$59*(1+$N$6)^11*$E$3)*$B$60,($D$60-$D$59)*(1+$N$6)^11*$E$3*$B$60),0)</f>
        <v>1778048.4069455501</v>
      </c>
      <c r="N60" s="3">
        <f>IF(N36&gt;$D$59*(1+$N$6)^12*$E$3,MIN((N36-$D$59*(1+$N$6)^12*$E$3)*$B$60,($D$60-$D$59)*(1+$N$6)^12*$E$3*$B$60),0)</f>
        <v>1831389.8591539166</v>
      </c>
    </row>
    <row r="61" spans="1:30" x14ac:dyDescent="0.2">
      <c r="A61" t="s">
        <v>140</v>
      </c>
      <c r="B61" s="39">
        <v>7.0000000000000007E-2</v>
      </c>
      <c r="C61" t="s">
        <v>143</v>
      </c>
      <c r="D61" s="96">
        <v>15000000</v>
      </c>
      <c r="E61" s="3">
        <f>IF(E36&gt;$D$60*(1+$N$6)^3*$E$3,MIN((E36-$D$60*(1+$N$6)^3*$E$3)*$B$61,($D$61-$D$60)*(1+$N$6)^3*$E$3*$B$61),0)</f>
        <v>0</v>
      </c>
      <c r="F61" s="3">
        <f>IF(F36&gt;$D$60*(1+$N$6)^4*$E$3,MIN((F36-$D$60*(1+$N$6)^4*$E$3)*$B$61,($D$61-$D$60)*(1+$N$6)^4*$E$3*$B$61),0)</f>
        <v>0</v>
      </c>
      <c r="G61" s="3">
        <f>IF(G36&gt;$D$60*(1+$N$6)^5*$E$3,MIN((G36-$D$60*(1+$N$6)^5*$E$3)*$B$61,($D$61-$D$60)*(1+$N$6)^5*$E$3*$B$61),0)</f>
        <v>17317.372692150551</v>
      </c>
      <c r="H61" s="3">
        <f>IF(H36&gt;$D$60*(1+$N$6)^6*$E$3,MIN((H36-$D$60*(1+$N$6)^6*$E$3)*$B$61,($D$61-$D$60)*(1+$N$6)^6*$E$3*$B$61),0)</f>
        <v>17836.893872915061</v>
      </c>
      <c r="I61" s="3">
        <f>IF(I36&gt;$D$60*(1+$N$6)^7*$E$3,MIN((I36-$D$60*(1+$N$6)^7*$E$3)*$B$61,($D$61-$D$60)*(1+$N$6)^7*$E$3*$B$61),0)</f>
        <v>18372.000689102711</v>
      </c>
      <c r="J61" s="3">
        <f>IF(J36&gt;$D$60*(1+$N$6)^8*$E$3,MIN((J36-$D$60*(1+$N$6)^8*$E$3)*$B$61,($D$61-$D$60)*(1+$N$6)^8*$E$3*$B$61),0)</f>
        <v>18923.160709775166</v>
      </c>
      <c r="K61" s="3">
        <f>IF(K36&gt;$D$60*(1+$N$6)^9*$E$3,MIN((K36-$D$60*(1+$N$6)^9*$E$3)*$B$61,($D$61-$D$60)*(1+$N$6)^9*$E$3*$B$61),0)</f>
        <v>19490.855531069043</v>
      </c>
      <c r="L61" s="3">
        <f>IF(L36&gt;$D$60*(1+$N$6)^10*$E$3,MIN((L36-$D$60*(1+$N$6)^10*$E$3)*$B$61,($D$61-$D$60)*(1+$N$6)^10*$E$3*$B$61),0)</f>
        <v>20075.581197000967</v>
      </c>
      <c r="M61" s="3">
        <f>IF(M36&gt;$D$60*(1+$N$6)^11*$E$3,MIN((M36-$D$60*(1+$N$6)^11*$E$3)*$B$61,($D$61-$D$60)*(1+$N$6)^11*$E$3*$B$61),0)</f>
        <v>20677.848632911147</v>
      </c>
      <c r="N61" s="3">
        <f>IF(N36&gt;$D$60*(1+$N$6)^12*$E$3,MIN((N36-$D$60*(1+$N$6)^12*$E$3)*$B$61,($D$61-$D$60)*(1+$N$6)^12*$E$3*$B$61),0)</f>
        <v>21298.184091899024</v>
      </c>
    </row>
    <row r="62" spans="1:30" x14ac:dyDescent="0.2">
      <c r="A62" t="s">
        <v>141</v>
      </c>
      <c r="B62" s="39">
        <v>7.0000000000000007E-2</v>
      </c>
      <c r="C62" t="s">
        <v>143</v>
      </c>
      <c r="D62" s="96">
        <v>20000000</v>
      </c>
      <c r="E62" s="3">
        <f>IF(E36&gt;$D$61*(1+$N$6)^3*$E$3,MIN((E36-$D$61*(1+$N$6)^3*$E$3)*$B$62,($D$62-$D$61)*(1+$N$6)^3*$E$3*$B$62),0)</f>
        <v>0</v>
      </c>
      <c r="F62" s="3">
        <f>IF(F36&gt;$D$61*(1+$N$6)^4*$E$3,MIN((F36-$D$61*(1+$N$6)^4*$E$3)*$B$62,($D$62-$D$61)*(1+$N$6)^4*$E$3*$B$62),0)</f>
        <v>0</v>
      </c>
      <c r="G62" s="3">
        <f>IF(G36&gt;$D$61*(1+$N$6)^5*$E$3,MIN((G36-$D$61*(1+$N$6)^5*$E$3)*$B$62,($D$62-$D$61)*(1+$N$6)^5*$E$3*$B$62),0)</f>
        <v>0</v>
      </c>
      <c r="H62" s="3">
        <f>IF(H36&gt;$D$61*(1+$N$6)^6*$E$3,MIN((H36-$D$61*(1+$N$6)^6*$E$3)*$B$62,($D$62-$D$61)*(1+$N$6)^6*$E$3*$B$62),0)</f>
        <v>0</v>
      </c>
      <c r="I62" s="3">
        <f>IF(I36&gt;$D$61*(1+$N$6)^7*$E$3,MIN((I36-$D$61*(1+$N$6)^7*$E$3)*$B$62,($D$62-$D$61)*(1+$N$6)^7*$E$3*$B$62),0)</f>
        <v>0</v>
      </c>
      <c r="J62" s="3">
        <f>IF(J36&gt;$D$61*(1+$N$6)^8*$E$3,MIN((J36-$D$61*(1+$N$6)^8*$E$3)*$B$62,($D$62-$D$61)*(1+$N$6)^8*$E$3*$B$62),0)</f>
        <v>0</v>
      </c>
      <c r="K62" s="3">
        <f>IF(K36&gt;$D$61*(1+$N$6)^9*$E$3,MIN((K36-$D$61*(1+$N$6)^9*$E$3)*$B$62,($D$62-$D$61)*(1+$N$6)^9*$E$3*$B$62),0)</f>
        <v>0</v>
      </c>
      <c r="L62" s="3">
        <f>IF(L36&gt;$D$61*(1+$N$6)^10*$E$3,MIN((L36-$D$61*(1+$N$6)^10*$E$3)*$B$62,($D$62-$D$61)*(1+$N$6)^10*$E$3*$B$62),0)</f>
        <v>0</v>
      </c>
      <c r="M62" s="3">
        <f>IF(M36&gt;$D$61*(1+$N$6)^11*$E$3,MIN((M36-$D$61*(1+$N$6)^11*$E$3)*$B$62,($D$62-$D$61)*(1+$N$6)^11*$E$3*$B$62),0)</f>
        <v>0</v>
      </c>
      <c r="N62" s="3">
        <f>IF(N36&gt;$D$61*(1+$N$6)^12*$E$3,MIN((N36-$D$61*(1+$N$6)^12*$E$3)*$B$62,($D$62-$D$61)*(1+$N$6)^12*$E$3*$B$62),0)</f>
        <v>0</v>
      </c>
    </row>
    <row r="63" spans="1:30" x14ac:dyDescent="0.2">
      <c r="A63" t="s">
        <v>142</v>
      </c>
      <c r="B63" s="39">
        <v>7.0000000000000007E-2</v>
      </c>
      <c r="C63" t="s">
        <v>143</v>
      </c>
      <c r="E63" s="3">
        <f>IF(E36&gt;$D$62*(1+$N$6)^1*$E$3,(E36-$D$62*(1+$N$6)^3*$E$3)*$B$63,0)</f>
        <v>0</v>
      </c>
      <c r="F63" s="3">
        <f>IF(F36&gt;$D$62*(1+$N$6)^4*$E$3,(F36-$D$62*(1+$N$6)^4*$E$3)*$B$63,0)</f>
        <v>0</v>
      </c>
      <c r="G63" s="3">
        <f>IF(G36&gt;$D$62*(1+$N$6)^5*$E$3,(G36-$D$62*(1+$N$6)^5*$E$3)*$B$63,0)</f>
        <v>0</v>
      </c>
      <c r="H63" s="3">
        <f>IF(H36&gt;$D$62*(1+$N$6)^6*$E$3,(H36-$D$62*(1+$N$6)^6*$E$3)*$B$63,0)</f>
        <v>0</v>
      </c>
      <c r="I63" s="3">
        <f>IF(I36&gt;$D$62*(1+$N$6)^7*$E$3,(I36-$D$62*(1+$N$6)^7*$E$3)*$B$63,0)</f>
        <v>0</v>
      </c>
      <c r="J63" s="3">
        <f>IF(J36&gt;$D$62*(1+$N$6)^8*$E$3,(J36-$D$62*(1+$N$6)^8*$E$3)*$B$63,0)</f>
        <v>0</v>
      </c>
      <c r="K63" s="3">
        <f>IF(K36&gt;$D$62*(1+$N$6)^9*$E$3,(K36-$D$62*(1+$N$6)^9*$E$3)*$B$63,0)</f>
        <v>0</v>
      </c>
      <c r="L63" s="3">
        <f>IF(L36&gt;$D$62*(1+$N$6)^10*$E$3,(L36-$D$62*(1+$N$6)^10*$E$3)*$B$63,0)</f>
        <v>0</v>
      </c>
      <c r="M63" s="3">
        <f>IF(M36&gt;$D$62*(1+$N$6)^11*$E$3,(M36-$D$62*(1+$N$6)^11*$E$3)*$B$63,0)</f>
        <v>0</v>
      </c>
      <c r="N63" s="3">
        <f>IF(N36&gt;$D$62*(1+$N$6)^12*$E$3,(N36-$D$62*(1+$N$6)^12*$E$3)*$B$63,0)</f>
        <v>0</v>
      </c>
    </row>
    <row r="64" spans="1:30" s="2" customFormat="1" x14ac:dyDescent="0.2">
      <c r="A64" s="2" t="s">
        <v>44</v>
      </c>
      <c r="B64" s="92"/>
      <c r="C64" s="32" t="s">
        <v>135</v>
      </c>
      <c r="D64" s="8"/>
      <c r="E64" s="8">
        <f>SUM(E58:E63)</f>
        <v>3840154.0449999999</v>
      </c>
      <c r="F64" s="8">
        <f t="shared" ref="F64:N64" si="31">SUM(F58:F63)</f>
        <v>3091600.9485783232</v>
      </c>
      <c r="G64" s="8">
        <f t="shared" si="31"/>
        <v>3633672.8474710002</v>
      </c>
      <c r="H64" s="8">
        <f t="shared" si="31"/>
        <v>3742683.0328951301</v>
      </c>
      <c r="I64" s="8">
        <f t="shared" si="31"/>
        <v>3854963.5238819849</v>
      </c>
      <c r="J64" s="8">
        <f t="shared" si="31"/>
        <v>3970612.4295984432</v>
      </c>
      <c r="K64" s="8">
        <f t="shared" si="31"/>
        <v>4089730.8024863969</v>
      </c>
      <c r="L64" s="8">
        <f t="shared" si="31"/>
        <v>4212422.7265609885</v>
      </c>
      <c r="M64" s="8">
        <f t="shared" si="31"/>
        <v>4338795.4083578186</v>
      </c>
      <c r="N64" s="8">
        <f t="shared" si="31"/>
        <v>4468959.2706085527</v>
      </c>
      <c r="P64"/>
      <c r="Q64" s="318" t="s">
        <v>44</v>
      </c>
      <c r="R64" s="318"/>
      <c r="S64" s="318" t="s">
        <v>135</v>
      </c>
      <c r="T64" s="318"/>
      <c r="U64" s="318">
        <v>4323536.3413322</v>
      </c>
      <c r="V64" s="318">
        <v>6589949.1443747021</v>
      </c>
      <c r="W64" s="318">
        <v>8135627.8756310269</v>
      </c>
      <c r="X64" s="318">
        <v>8379696.7118999604</v>
      </c>
      <c r="Y64" s="318">
        <v>8631087.6132569611</v>
      </c>
      <c r="Z64" s="318">
        <v>8890020.241654668</v>
      </c>
      <c r="AA64" s="318">
        <v>9156720.8489043079</v>
      </c>
      <c r="AB64" s="318">
        <v>9431422.4743714388</v>
      </c>
      <c r="AC64" s="318">
        <v>9714365.1486025825</v>
      </c>
      <c r="AD64" s="318">
        <v>10005796.103060659</v>
      </c>
    </row>
    <row r="66" spans="1:30" x14ac:dyDescent="0.2">
      <c r="A66" s="2" t="s">
        <v>45</v>
      </c>
      <c r="B66" s="2"/>
      <c r="D66" s="3" t="s">
        <v>94</v>
      </c>
    </row>
    <row r="67" spans="1:30" x14ac:dyDescent="0.2">
      <c r="A67" t="s">
        <v>46</v>
      </c>
      <c r="B67" s="39">
        <v>0.05</v>
      </c>
      <c r="C67" s="9" t="s">
        <v>47</v>
      </c>
      <c r="D67" s="3"/>
      <c r="E67" s="3">
        <f t="shared" ref="E67:N67" si="32">$B$67*E36</f>
        <v>705884.73691414134</v>
      </c>
      <c r="F67" s="3">
        <f t="shared" si="32"/>
        <v>1765720.2490523737</v>
      </c>
      <c r="G67" s="3">
        <f t="shared" si="32"/>
        <v>2139637.4782634648</v>
      </c>
      <c r="H67" s="3">
        <f t="shared" si="32"/>
        <v>2203826.6026113685</v>
      </c>
      <c r="I67" s="3">
        <f t="shared" si="32"/>
        <v>2269941.4006897095</v>
      </c>
      <c r="J67" s="3">
        <f t="shared" si="32"/>
        <v>2338039.6427104003</v>
      </c>
      <c r="K67" s="3">
        <f t="shared" si="32"/>
        <v>2408180.831991713</v>
      </c>
      <c r="L67" s="3">
        <f t="shared" si="32"/>
        <v>2480426.2569514639</v>
      </c>
      <c r="M67" s="3">
        <f t="shared" si="32"/>
        <v>2554839.044660008</v>
      </c>
      <c r="N67" s="3">
        <f t="shared" si="32"/>
        <v>2631484.2159998086</v>
      </c>
    </row>
    <row r="68" spans="1:30" x14ac:dyDescent="0.2">
      <c r="A68" t="s">
        <v>48</v>
      </c>
      <c r="B68" s="320">
        <v>0.03</v>
      </c>
      <c r="C68" s="9" t="s">
        <v>47</v>
      </c>
      <c r="E68" s="3">
        <f t="shared" ref="E68:N68" si="33">$B$68*E36</f>
        <v>423530.84214848478</v>
      </c>
      <c r="F68" s="3">
        <f t="shared" si="33"/>
        <v>1059432.1494314242</v>
      </c>
      <c r="G68" s="3">
        <f t="shared" si="33"/>
        <v>1283782.4869580788</v>
      </c>
      <c r="H68" s="3">
        <f t="shared" si="33"/>
        <v>1322295.961566821</v>
      </c>
      <c r="I68" s="3">
        <f t="shared" si="33"/>
        <v>1361964.8404138256</v>
      </c>
      <c r="J68" s="3">
        <f t="shared" si="33"/>
        <v>1402823.7856262401</v>
      </c>
      <c r="K68" s="3">
        <f t="shared" si="33"/>
        <v>1444908.4991950276</v>
      </c>
      <c r="L68" s="3">
        <f t="shared" si="33"/>
        <v>1488255.7541708783</v>
      </c>
      <c r="M68" s="3">
        <f t="shared" si="33"/>
        <v>1532903.4267960046</v>
      </c>
      <c r="N68" s="3">
        <f t="shared" si="33"/>
        <v>1578890.529599885</v>
      </c>
    </row>
    <row r="69" spans="1:30" x14ac:dyDescent="0.2">
      <c r="A69" s="2" t="s">
        <v>49</v>
      </c>
      <c r="B69" s="2"/>
      <c r="E69" s="8">
        <f>SUM(E67:E68)</f>
        <v>1129415.5790626262</v>
      </c>
      <c r="F69" s="8">
        <f t="shared" ref="F69:N69" si="34">SUM(F67:F68)</f>
        <v>2825152.3984837979</v>
      </c>
      <c r="G69" s="8">
        <f t="shared" si="34"/>
        <v>3423419.9652215438</v>
      </c>
      <c r="H69" s="8">
        <f t="shared" si="34"/>
        <v>3526122.5641781893</v>
      </c>
      <c r="I69" s="8">
        <f t="shared" si="34"/>
        <v>3631906.2411035351</v>
      </c>
      <c r="J69" s="8">
        <f t="shared" si="34"/>
        <v>3740863.4283366404</v>
      </c>
      <c r="K69" s="8">
        <f t="shared" si="34"/>
        <v>3853089.3311867407</v>
      </c>
      <c r="L69" s="8">
        <f t="shared" si="34"/>
        <v>3968682.0111223422</v>
      </c>
      <c r="M69" s="8">
        <f t="shared" si="34"/>
        <v>4087742.4714560127</v>
      </c>
      <c r="N69" s="8">
        <f t="shared" si="34"/>
        <v>4210374.7455996936</v>
      </c>
      <c r="Q69" s="33" t="s">
        <v>49</v>
      </c>
      <c r="R69" s="33"/>
      <c r="S69" s="33"/>
      <c r="T69" s="33"/>
      <c r="U69" s="33">
        <v>1852959.3188322</v>
      </c>
      <c r="V69" s="33">
        <v>4635045.3818216892</v>
      </c>
      <c r="W69" s="33">
        <v>5616584.4038545182</v>
      </c>
      <c r="X69" s="33">
        <v>5785081.9359701537</v>
      </c>
      <c r="Y69" s="33">
        <v>5958634.3940492598</v>
      </c>
      <c r="Z69" s="33">
        <v>6137393.4258707361</v>
      </c>
      <c r="AA69" s="33">
        <v>6321515.2286468595</v>
      </c>
      <c r="AB69" s="33">
        <v>6511160.6855062656</v>
      </c>
      <c r="AC69" s="33">
        <v>6706495.506071453</v>
      </c>
      <c r="AD69" s="33">
        <v>6907690.3712535966</v>
      </c>
    </row>
    <row r="70" spans="1:30" x14ac:dyDescent="0.2">
      <c r="D70" t="s">
        <v>94</v>
      </c>
    </row>
    <row r="71" spans="1:30" x14ac:dyDescent="0.2">
      <c r="A71" s="2" t="s">
        <v>50</v>
      </c>
      <c r="B71" s="2"/>
    </row>
    <row r="72" spans="1:30" x14ac:dyDescent="0.2">
      <c r="A72" t="s">
        <v>51</v>
      </c>
      <c r="B72" s="39">
        <v>0.02</v>
      </c>
      <c r="C72" s="9" t="s">
        <v>47</v>
      </c>
      <c r="E72" s="3">
        <f t="shared" ref="E72:N72" si="35">$B$72*E36</f>
        <v>282353.8947656565</v>
      </c>
      <c r="F72" s="3">
        <f t="shared" si="35"/>
        <v>706288.09962094948</v>
      </c>
      <c r="G72" s="3">
        <f t="shared" si="35"/>
        <v>855854.99130538583</v>
      </c>
      <c r="H72" s="3">
        <f t="shared" si="35"/>
        <v>881530.64104454743</v>
      </c>
      <c r="I72" s="3">
        <f t="shared" si="35"/>
        <v>907976.56027588388</v>
      </c>
      <c r="J72" s="3">
        <f t="shared" si="35"/>
        <v>935215.8570841602</v>
      </c>
      <c r="K72" s="3">
        <f t="shared" si="35"/>
        <v>963272.33279668516</v>
      </c>
      <c r="L72" s="3">
        <f t="shared" si="35"/>
        <v>992170.50278058555</v>
      </c>
      <c r="M72" s="3">
        <f t="shared" si="35"/>
        <v>1021935.6178640032</v>
      </c>
      <c r="N72" s="3">
        <f t="shared" si="35"/>
        <v>1052593.6863999234</v>
      </c>
    </row>
    <row r="73" spans="1:30" x14ac:dyDescent="0.2">
      <c r="A73" t="s">
        <v>52</v>
      </c>
      <c r="B73" s="39">
        <v>0.05</v>
      </c>
      <c r="C73" s="9" t="s">
        <v>47</v>
      </c>
      <c r="E73" s="3">
        <f t="shared" ref="E73:N73" si="36">$B$73*E36</f>
        <v>705884.73691414134</v>
      </c>
      <c r="F73" s="3">
        <f t="shared" si="36"/>
        <v>1765720.2490523737</v>
      </c>
      <c r="G73" s="3">
        <f t="shared" si="36"/>
        <v>2139637.4782634648</v>
      </c>
      <c r="H73" s="3">
        <f t="shared" si="36"/>
        <v>2203826.6026113685</v>
      </c>
      <c r="I73" s="3">
        <f t="shared" si="36"/>
        <v>2269941.4006897095</v>
      </c>
      <c r="J73" s="3">
        <f t="shared" si="36"/>
        <v>2338039.6427104003</v>
      </c>
      <c r="K73" s="3">
        <f t="shared" si="36"/>
        <v>2408180.831991713</v>
      </c>
      <c r="L73" s="3">
        <f t="shared" si="36"/>
        <v>2480426.2569514639</v>
      </c>
      <c r="M73" s="3">
        <f t="shared" si="36"/>
        <v>2554839.044660008</v>
      </c>
      <c r="N73" s="3">
        <f t="shared" si="36"/>
        <v>2631484.2159998086</v>
      </c>
    </row>
    <row r="74" spans="1:30" x14ac:dyDescent="0.2">
      <c r="A74" t="s">
        <v>53</v>
      </c>
      <c r="B74" s="39">
        <v>5.0000000000000001E-3</v>
      </c>
      <c r="C74" s="9" t="s">
        <v>47</v>
      </c>
      <c r="E74" s="3">
        <f t="shared" ref="E74:N74" si="37">$B$74*E36</f>
        <v>70588.473691414125</v>
      </c>
      <c r="F74" s="3">
        <f t="shared" si="37"/>
        <v>176572.02490523737</v>
      </c>
      <c r="G74" s="3">
        <f t="shared" si="37"/>
        <v>213963.74782634646</v>
      </c>
      <c r="H74" s="3">
        <f t="shared" si="37"/>
        <v>220382.66026113686</v>
      </c>
      <c r="I74" s="3">
        <f t="shared" si="37"/>
        <v>226994.14006897097</v>
      </c>
      <c r="J74" s="3">
        <f t="shared" si="37"/>
        <v>233803.96427104005</v>
      </c>
      <c r="K74" s="3">
        <f t="shared" si="37"/>
        <v>240818.08319917129</v>
      </c>
      <c r="L74" s="3">
        <f t="shared" si="37"/>
        <v>248042.62569514639</v>
      </c>
      <c r="M74" s="3">
        <f t="shared" si="37"/>
        <v>255483.90446600079</v>
      </c>
      <c r="N74" s="3">
        <f t="shared" si="37"/>
        <v>263148.42159998085</v>
      </c>
    </row>
    <row r="75" spans="1:30" x14ac:dyDescent="0.2">
      <c r="A75" s="2" t="s">
        <v>54</v>
      </c>
      <c r="B75" s="2"/>
      <c r="E75" s="8">
        <f>SUM(E72:E74)</f>
        <v>1058827.1053712119</v>
      </c>
      <c r="F75" s="8">
        <f t="shared" ref="F75:N75" si="38">SUM(F72:F74)</f>
        <v>2648580.3735785605</v>
      </c>
      <c r="G75" s="8">
        <f t="shared" si="38"/>
        <v>3209456.2173951971</v>
      </c>
      <c r="H75" s="8">
        <f t="shared" si="38"/>
        <v>3305739.9039170528</v>
      </c>
      <c r="I75" s="8">
        <f t="shared" si="38"/>
        <v>3404912.1010345644</v>
      </c>
      <c r="J75" s="8">
        <f t="shared" si="38"/>
        <v>3507059.4640656007</v>
      </c>
      <c r="K75" s="8">
        <f t="shared" si="38"/>
        <v>3612271.2479875693</v>
      </c>
      <c r="L75" s="8">
        <f t="shared" si="38"/>
        <v>3720639.3854271956</v>
      </c>
      <c r="M75" s="8">
        <f t="shared" si="38"/>
        <v>3832258.5669900118</v>
      </c>
      <c r="N75" s="8">
        <f t="shared" si="38"/>
        <v>3947226.3239997127</v>
      </c>
      <c r="Q75" s="317" t="s">
        <v>54</v>
      </c>
      <c r="R75" s="317"/>
      <c r="S75" s="317"/>
      <c r="U75" s="317">
        <v>2223551.1825986402</v>
      </c>
      <c r="V75" s="317">
        <v>5562054.4581860267</v>
      </c>
      <c r="W75" s="317">
        <v>6739901.2846254213</v>
      </c>
      <c r="X75" s="317">
        <v>6942098.3231641836</v>
      </c>
      <c r="Y75" s="317">
        <v>7150361.2728591114</v>
      </c>
      <c r="Z75" s="317">
        <v>7364872.1110448828</v>
      </c>
      <c r="AA75" s="317">
        <v>7585818.2743762303</v>
      </c>
      <c r="AB75" s="317">
        <v>7813392.8226075182</v>
      </c>
      <c r="AC75" s="317">
        <v>8047794.6072857436</v>
      </c>
      <c r="AD75" s="317">
        <v>8289228.4455043152</v>
      </c>
    </row>
    <row r="76" spans="1:30" x14ac:dyDescent="0.2">
      <c r="A76" s="2"/>
      <c r="B76" s="2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30" x14ac:dyDescent="0.2">
      <c r="A77" s="2" t="s">
        <v>55</v>
      </c>
      <c r="B77" s="39">
        <v>0.05</v>
      </c>
      <c r="C77" s="9" t="s">
        <v>47</v>
      </c>
      <c r="E77" s="3">
        <f t="shared" ref="E77:N77" si="39">$B$77*E36</f>
        <v>705884.73691414134</v>
      </c>
      <c r="F77" s="3">
        <f t="shared" si="39"/>
        <v>1765720.2490523737</v>
      </c>
      <c r="G77" s="3">
        <f t="shared" si="39"/>
        <v>2139637.4782634648</v>
      </c>
      <c r="H77" s="3">
        <f t="shared" si="39"/>
        <v>2203826.6026113685</v>
      </c>
      <c r="I77" s="3">
        <f t="shared" si="39"/>
        <v>2269941.4006897095</v>
      </c>
      <c r="J77" s="3">
        <f t="shared" si="39"/>
        <v>2338039.6427104003</v>
      </c>
      <c r="K77" s="3">
        <f t="shared" si="39"/>
        <v>2408180.831991713</v>
      </c>
      <c r="L77" s="3">
        <f t="shared" si="39"/>
        <v>2480426.2569514639</v>
      </c>
      <c r="M77" s="3">
        <f t="shared" si="39"/>
        <v>2554839.044660008</v>
      </c>
      <c r="N77" s="3">
        <f t="shared" si="39"/>
        <v>2631484.2159998086</v>
      </c>
    </row>
    <row r="79" spans="1:30" x14ac:dyDescent="0.2">
      <c r="A79" s="10" t="s">
        <v>56</v>
      </c>
      <c r="B79" s="10"/>
      <c r="C79" s="11"/>
      <c r="D79" s="11"/>
      <c r="E79" s="12">
        <f t="shared" ref="E79:N79" si="40">E54-E64-E69-E75-E77</f>
        <v>1261778.1171031278</v>
      </c>
      <c r="F79" s="12">
        <f>F54-F64-F69-F75-F77</f>
        <v>11175242.816680359</v>
      </c>
      <c r="G79" s="12">
        <f t="shared" si="40"/>
        <v>13845839.004977819</v>
      </c>
      <c r="H79" s="12">
        <f t="shared" si="40"/>
        <v>14261214.17512715</v>
      </c>
      <c r="I79" s="12">
        <f t="shared" si="40"/>
        <v>14689050.600380961</v>
      </c>
      <c r="J79" s="12">
        <f t="shared" si="40"/>
        <v>15129722.118392391</v>
      </c>
      <c r="K79" s="12">
        <f t="shared" si="40"/>
        <v>15583613.781944152</v>
      </c>
      <c r="L79" s="12">
        <f t="shared" si="40"/>
        <v>16051122.195402486</v>
      </c>
      <c r="M79" s="12">
        <f t="shared" si="40"/>
        <v>16532655.861264555</v>
      </c>
      <c r="N79" s="12">
        <f t="shared" si="40"/>
        <v>17028635.537102498</v>
      </c>
      <c r="Q79" s="317" t="s">
        <v>56</v>
      </c>
      <c r="R79" s="317"/>
      <c r="S79" s="317"/>
      <c r="U79" s="317">
        <v>10640498.366452109</v>
      </c>
      <c r="V79" s="317">
        <v>32346239.703009311</v>
      </c>
      <c r="W79" s="317">
        <v>39237325.664569676</v>
      </c>
      <c r="X79" s="317">
        <v>40414445.434506774</v>
      </c>
      <c r="Y79" s="317">
        <v>41626878.797541961</v>
      </c>
      <c r="Z79" s="317">
        <v>42875685.161468208</v>
      </c>
      <c r="AA79" s="317">
        <v>44161955.716312259</v>
      </c>
      <c r="AB79" s="317">
        <v>45486814.387801632</v>
      </c>
      <c r="AC79" s="317">
        <v>46851418.819435693</v>
      </c>
      <c r="AD79" s="317">
        <v>48256961.384018756</v>
      </c>
    </row>
    <row r="81" spans="1:30" x14ac:dyDescent="0.2">
      <c r="A81" t="s">
        <v>57</v>
      </c>
      <c r="B81" s="320">
        <v>0.02</v>
      </c>
      <c r="C81" s="9" t="s">
        <v>47</v>
      </c>
      <c r="E81" s="3">
        <f t="shared" ref="E81:N81" si="41">$B$81*E36</f>
        <v>282353.8947656565</v>
      </c>
      <c r="F81" s="3">
        <f t="shared" si="41"/>
        <v>706288.09962094948</v>
      </c>
      <c r="G81" s="3">
        <f t="shared" si="41"/>
        <v>855854.99130538583</v>
      </c>
      <c r="H81" s="3">
        <f t="shared" si="41"/>
        <v>881530.64104454743</v>
      </c>
      <c r="I81" s="3">
        <f t="shared" si="41"/>
        <v>907976.56027588388</v>
      </c>
      <c r="J81" s="3">
        <f t="shared" si="41"/>
        <v>935215.8570841602</v>
      </c>
      <c r="K81" s="3">
        <f t="shared" si="41"/>
        <v>963272.33279668516</v>
      </c>
      <c r="L81" s="3">
        <f t="shared" si="41"/>
        <v>992170.50278058555</v>
      </c>
      <c r="M81" s="3">
        <f t="shared" si="41"/>
        <v>1021935.6178640032</v>
      </c>
      <c r="N81" s="3">
        <f t="shared" si="41"/>
        <v>1052593.6863999234</v>
      </c>
    </row>
    <row r="83" spans="1:30" x14ac:dyDescent="0.2">
      <c r="A83" s="13" t="s">
        <v>58</v>
      </c>
      <c r="B83" s="5" t="s">
        <v>59</v>
      </c>
      <c r="C83" s="14"/>
      <c r="D83" s="14"/>
      <c r="E83" s="15">
        <f>E79-E81</f>
        <v>979424.22233747132</v>
      </c>
      <c r="F83" s="15">
        <f t="shared" ref="F83:N83" si="42">F79-F81</f>
        <v>10468954.717059409</v>
      </c>
      <c r="G83" s="15">
        <f t="shared" si="42"/>
        <v>12989984.013672432</v>
      </c>
      <c r="H83" s="15">
        <f t="shared" si="42"/>
        <v>13379683.534082603</v>
      </c>
      <c r="I83" s="15">
        <f t="shared" si="42"/>
        <v>13781074.040105077</v>
      </c>
      <c r="J83" s="15">
        <f t="shared" si="42"/>
        <v>14194506.26130823</v>
      </c>
      <c r="K83" s="15">
        <f t="shared" si="42"/>
        <v>14620341.449147467</v>
      </c>
      <c r="L83" s="15">
        <f t="shared" si="42"/>
        <v>15058951.692621902</v>
      </c>
      <c r="M83" s="15">
        <f t="shared" si="42"/>
        <v>15510720.243400551</v>
      </c>
      <c r="N83" s="15">
        <f t="shared" si="42"/>
        <v>15976041.850702574</v>
      </c>
      <c r="Q83" s="317" t="s">
        <v>58</v>
      </c>
      <c r="R83" s="317" t="s">
        <v>59</v>
      </c>
      <c r="S83" s="317"/>
      <c r="U83" s="317">
        <v>7354562.8345416998</v>
      </c>
      <c r="V83" s="317">
        <v>24126706.679616269</v>
      </c>
      <c r="W83" s="317">
        <v>29277185.647987522</v>
      </c>
      <c r="X83" s="317">
        <v>30155501.217427149</v>
      </c>
      <c r="Y83" s="317">
        <v>31060166.253949951</v>
      </c>
      <c r="Z83" s="317">
        <v>31991971.241568435</v>
      </c>
      <c r="AA83" s="317">
        <v>32951730.378815494</v>
      </c>
      <c r="AB83" s="317">
        <v>33940282.29017996</v>
      </c>
      <c r="AC83" s="317">
        <v>34958490.758885376</v>
      </c>
      <c r="AD83" s="317">
        <v>36007245.481651925</v>
      </c>
    </row>
    <row r="84" spans="1:30" x14ac:dyDescent="0.2">
      <c r="A84" s="13" t="s">
        <v>60</v>
      </c>
      <c r="B84" s="16">
        <v>0.09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15">
        <f>N83/B84</f>
        <v>177511576.1189175</v>
      </c>
      <c r="Q84" s="317" t="s">
        <v>60</v>
      </c>
      <c r="R84" s="33">
        <v>0.09</v>
      </c>
      <c r="S84" s="317"/>
      <c r="U84" s="317"/>
      <c r="V84" s="317"/>
      <c r="W84" s="317"/>
      <c r="X84" s="317"/>
      <c r="Y84" s="317"/>
      <c r="Z84" s="317"/>
      <c r="AA84" s="317"/>
      <c r="AB84" s="317"/>
      <c r="AC84" s="317"/>
      <c r="AD84" s="317">
        <v>400080505.35168809</v>
      </c>
    </row>
    <row r="85" spans="1:30" x14ac:dyDescent="0.2">
      <c r="A85" s="330"/>
      <c r="B85" s="331"/>
      <c r="C85" s="332"/>
      <c r="D85" s="332"/>
      <c r="E85" s="332"/>
      <c r="F85" s="332"/>
      <c r="G85" s="332"/>
      <c r="H85" s="332"/>
      <c r="I85" s="332"/>
      <c r="J85" s="332"/>
      <c r="K85" s="332"/>
      <c r="L85" s="332"/>
      <c r="M85" s="332"/>
      <c r="N85" s="333"/>
      <c r="Q85" s="334"/>
      <c r="R85" s="335"/>
      <c r="S85" s="334"/>
      <c r="T85" s="334"/>
      <c r="U85" s="334"/>
      <c r="V85" s="334"/>
      <c r="W85" s="334"/>
      <c r="X85" s="334"/>
      <c r="Y85" s="334"/>
      <c r="Z85" s="334"/>
      <c r="AA85" s="334"/>
      <c r="AB85" s="334"/>
      <c r="AC85" s="334"/>
      <c r="AD85" s="334"/>
    </row>
    <row r="86" spans="1:30" x14ac:dyDescent="0.2">
      <c r="A86" s="6" t="s">
        <v>61</v>
      </c>
      <c r="B86" s="17" t="s">
        <v>62</v>
      </c>
      <c r="C86" s="18" t="s">
        <v>85</v>
      </c>
      <c r="D86" s="18" t="s">
        <v>86</v>
      </c>
      <c r="E86" s="18" t="s">
        <v>87</v>
      </c>
      <c r="G86" s="3"/>
      <c r="H86" s="3"/>
    </row>
    <row r="87" spans="1:30" x14ac:dyDescent="0.2">
      <c r="A87" s="19" t="s">
        <v>63</v>
      </c>
      <c r="B87" s="20">
        <f>SUM(C87:E87)</f>
        <v>0</v>
      </c>
      <c r="C87" s="20">
        <f t="shared" ref="C87:C93" si="43">$B104*C104*(1+$N$6)^1</f>
        <v>0</v>
      </c>
      <c r="D87" s="20">
        <f t="shared" ref="D87:D93" si="44">$B104*D104*(1+$N$6)^2</f>
        <v>0</v>
      </c>
      <c r="E87" s="20">
        <f t="shared" ref="E87:E93" si="45">$B104*E104*(1+$N$6)^3</f>
        <v>0</v>
      </c>
    </row>
    <row r="88" spans="1:30" x14ac:dyDescent="0.2">
      <c r="A88" s="19" t="s">
        <v>64</v>
      </c>
      <c r="B88" s="20">
        <f>SUM(C88:E88)</f>
        <v>1145912.824918244</v>
      </c>
      <c r="C88" s="20">
        <f t="shared" si="43"/>
        <v>447543.52747300052</v>
      </c>
      <c r="D88" s="20">
        <f t="shared" si="44"/>
        <v>460969.83329719055</v>
      </c>
      <c r="E88" s="20">
        <f t="shared" si="45"/>
        <v>237399.46414805306</v>
      </c>
    </row>
    <row r="89" spans="1:30" x14ac:dyDescent="0.2">
      <c r="A89" s="19" t="s">
        <v>65</v>
      </c>
      <c r="B89" s="20">
        <f t="shared" ref="B89:B90" si="46">SUM(C89:E89)</f>
        <v>8232802.9433269911</v>
      </c>
      <c r="C89" s="20">
        <f t="shared" si="43"/>
        <v>1331974.7841458349</v>
      </c>
      <c r="D89" s="20">
        <f t="shared" si="44"/>
        <v>5487736.11068084</v>
      </c>
      <c r="E89" s="20">
        <f t="shared" si="45"/>
        <v>1413092.048500316</v>
      </c>
    </row>
    <row r="90" spans="1:30" x14ac:dyDescent="0.2">
      <c r="A90" s="19" t="s">
        <v>149</v>
      </c>
      <c r="B90" s="20">
        <f t="shared" si="46"/>
        <v>14205451</v>
      </c>
      <c r="C90" s="20">
        <f t="shared" si="43"/>
        <v>0</v>
      </c>
      <c r="D90" s="20">
        <f t="shared" si="44"/>
        <v>0</v>
      </c>
      <c r="E90" s="20">
        <f t="shared" si="45"/>
        <v>14205451</v>
      </c>
      <c r="F90" s="239"/>
    </row>
    <row r="91" spans="1:30" x14ac:dyDescent="0.2">
      <c r="A91" s="19" t="s">
        <v>66</v>
      </c>
      <c r="B91" s="20">
        <f t="shared" ref="B91:B93" si="47">SUM(C91:E91)</f>
        <v>2387372.625</v>
      </c>
      <c r="C91" s="20">
        <f t="shared" si="43"/>
        <v>386250</v>
      </c>
      <c r="D91" s="20">
        <f t="shared" si="44"/>
        <v>1591350.0000000002</v>
      </c>
      <c r="E91" s="20">
        <f t="shared" si="45"/>
        <v>409772.62499999994</v>
      </c>
    </row>
    <row r="92" spans="1:30" x14ac:dyDescent="0.2">
      <c r="A92" s="19" t="s">
        <v>67</v>
      </c>
      <c r="B92" s="20">
        <f t="shared" si="47"/>
        <v>2458635.75</v>
      </c>
      <c r="C92" s="20">
        <f t="shared" si="43"/>
        <v>0</v>
      </c>
      <c r="D92" s="20">
        <f t="shared" si="44"/>
        <v>0</v>
      </c>
      <c r="E92" s="20">
        <f t="shared" si="45"/>
        <v>2458635.75</v>
      </c>
    </row>
    <row r="93" spans="1:30" x14ac:dyDescent="0.2">
      <c r="A93" s="19" t="s">
        <v>68</v>
      </c>
      <c r="B93" s="20">
        <f t="shared" si="47"/>
        <v>345671.61947215692</v>
      </c>
      <c r="C93" s="20">
        <f t="shared" si="43"/>
        <v>135004.24514134505</v>
      </c>
      <c r="D93" s="20">
        <f t="shared" si="44"/>
        <v>139054.37249558541</v>
      </c>
      <c r="E93" s="20">
        <f t="shared" si="45"/>
        <v>71613.001835226474</v>
      </c>
    </row>
    <row r="94" spans="1:30" x14ac:dyDescent="0.2">
      <c r="B94" s="91"/>
      <c r="C94" s="91"/>
      <c r="D94" s="91"/>
      <c r="E94" s="91"/>
      <c r="T94" s="334"/>
    </row>
    <row r="95" spans="1:30" x14ac:dyDescent="0.2">
      <c r="A95" t="s">
        <v>81</v>
      </c>
      <c r="B95" s="320">
        <v>2.5000000000000001E-2</v>
      </c>
      <c r="C95" s="9" t="s">
        <v>47</v>
      </c>
      <c r="E95" s="3">
        <f t="shared" ref="E95:N95" si="48">$B$95*E36</f>
        <v>352942.36845707067</v>
      </c>
      <c r="F95" s="3">
        <f t="shared" si="48"/>
        <v>882860.12452618685</v>
      </c>
      <c r="G95" s="3">
        <f t="shared" si="48"/>
        <v>1069818.7391317324</v>
      </c>
      <c r="H95" s="3">
        <f t="shared" si="48"/>
        <v>1101913.3013056843</v>
      </c>
      <c r="I95" s="3">
        <f t="shared" si="48"/>
        <v>1134970.7003448547</v>
      </c>
      <c r="J95" s="3">
        <f t="shared" si="48"/>
        <v>1169019.8213552001</v>
      </c>
      <c r="K95" s="3">
        <f t="shared" si="48"/>
        <v>1204090.4159958565</v>
      </c>
      <c r="L95" s="3">
        <f t="shared" si="48"/>
        <v>1240213.1284757319</v>
      </c>
      <c r="M95" s="3">
        <f t="shared" si="48"/>
        <v>1277419.522330004</v>
      </c>
      <c r="N95" s="3">
        <f t="shared" si="48"/>
        <v>1315742.1079999043</v>
      </c>
      <c r="T95" s="334"/>
    </row>
    <row r="96" spans="1:30" x14ac:dyDescent="0.2">
      <c r="A96" t="s">
        <v>82</v>
      </c>
      <c r="B96" s="320">
        <v>1.4999999999999999E-2</v>
      </c>
      <c r="C96" s="9" t="s">
        <v>83</v>
      </c>
      <c r="E96" s="3">
        <f t="shared" ref="E96:N96" si="49">$B$96*E23</f>
        <v>88070.950271976995</v>
      </c>
      <c r="F96" s="3">
        <f t="shared" si="49"/>
        <v>220303.19132318819</v>
      </c>
      <c r="G96" s="3">
        <f t="shared" si="49"/>
        <v>266955.63183868688</v>
      </c>
      <c r="H96" s="3">
        <f t="shared" si="49"/>
        <v>274964.30079384753</v>
      </c>
      <c r="I96" s="3">
        <f t="shared" si="49"/>
        <v>283213.22981766291</v>
      </c>
      <c r="J96" s="3">
        <f t="shared" si="49"/>
        <v>291709.62671219278</v>
      </c>
      <c r="K96" s="3">
        <f t="shared" si="49"/>
        <v>300460.91551355855</v>
      </c>
      <c r="L96" s="3">
        <f t="shared" si="49"/>
        <v>309474.74297896534</v>
      </c>
      <c r="M96" s="3">
        <f t="shared" si="49"/>
        <v>318758.98526833428</v>
      </c>
      <c r="N96" s="3">
        <f t="shared" si="49"/>
        <v>328321.75482638436</v>
      </c>
    </row>
    <row r="97" spans="1:20" x14ac:dyDescent="0.2">
      <c r="B97" s="320"/>
      <c r="C97" s="9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20" s="2" customFormat="1" x14ac:dyDescent="0.2">
      <c r="A98" s="13" t="s">
        <v>69</v>
      </c>
      <c r="B98" s="13"/>
      <c r="C98" s="15">
        <f>C83+C84-SUM(C87:C93)</f>
        <v>-2300772.5567601807</v>
      </c>
      <c r="D98" s="15">
        <f>D83+D84-SUM(D87:D93)</f>
        <v>-7679110.3164736154</v>
      </c>
      <c r="E98" s="15">
        <f>E83+E84-SUM(E87:E96)</f>
        <v>-18257552.985875167</v>
      </c>
      <c r="F98" s="15">
        <f>F83+F84-SUM(F87:F96)</f>
        <v>9365791.4012100343</v>
      </c>
      <c r="G98" s="15">
        <f t="shared" ref="G98:N98" si="50">G83+G84-SUM(G87:G96)</f>
        <v>11653209.642702013</v>
      </c>
      <c r="H98" s="15">
        <f t="shared" si="50"/>
        <v>12002805.93198307</v>
      </c>
      <c r="I98" s="15">
        <f t="shared" si="50"/>
        <v>12362890.109942559</v>
      </c>
      <c r="J98" s="15">
        <f t="shared" si="50"/>
        <v>12733776.813240837</v>
      </c>
      <c r="K98" s="15">
        <f t="shared" si="50"/>
        <v>13115790.117638052</v>
      </c>
      <c r="L98" s="15">
        <f t="shared" si="50"/>
        <v>13509263.821167205</v>
      </c>
      <c r="M98" s="15">
        <f t="shared" si="50"/>
        <v>13914541.735802213</v>
      </c>
      <c r="N98" s="15">
        <f t="shared" si="50"/>
        <v>191843554.10679379</v>
      </c>
      <c r="T98" s="318"/>
    </row>
    <row r="101" spans="1:20" x14ac:dyDescent="0.2">
      <c r="A101" s="72" t="s">
        <v>112</v>
      </c>
      <c r="B101" s="19" t="s">
        <v>341</v>
      </c>
      <c r="C101" s="19"/>
      <c r="D101" s="19"/>
      <c r="E101" s="19"/>
    </row>
    <row r="102" spans="1:20" ht="17" thickBot="1" x14ac:dyDescent="0.25"/>
    <row r="103" spans="1:20" x14ac:dyDescent="0.2">
      <c r="A103" s="21" t="s">
        <v>84</v>
      </c>
      <c r="B103" s="22" t="s">
        <v>62</v>
      </c>
      <c r="C103" s="23" t="s">
        <v>85</v>
      </c>
      <c r="D103" s="23" t="s">
        <v>86</v>
      </c>
      <c r="E103" s="24" t="s">
        <v>87</v>
      </c>
    </row>
    <row r="104" spans="1:20" x14ac:dyDescent="0.2">
      <c r="A104" s="25" t="s">
        <v>88</v>
      </c>
      <c r="B104" s="26">
        <v>0</v>
      </c>
      <c r="C104" s="34">
        <v>1</v>
      </c>
      <c r="D104" s="34">
        <v>0</v>
      </c>
      <c r="E104" s="35">
        <v>0</v>
      </c>
    </row>
    <row r="105" spans="1:20" x14ac:dyDescent="0.2">
      <c r="A105" s="27" t="s">
        <v>146</v>
      </c>
      <c r="B105" s="26">
        <f>'Hard + Soft Costs'!E36</f>
        <v>1086270.6977500012</v>
      </c>
      <c r="C105" s="34">
        <v>0.4</v>
      </c>
      <c r="D105" s="34">
        <v>0.4</v>
      </c>
      <c r="E105" s="35">
        <v>0.19999999999999996</v>
      </c>
    </row>
    <row r="106" spans="1:20" x14ac:dyDescent="0.2">
      <c r="A106" s="27" t="s">
        <v>138</v>
      </c>
      <c r="B106" s="26">
        <f>'Hard + Soft Costs'!E24</f>
        <v>7759076.4125000089</v>
      </c>
      <c r="C106" s="34">
        <v>0.16666666666666666</v>
      </c>
      <c r="D106" s="34">
        <v>0.66666666666666674</v>
      </c>
      <c r="E106" s="35">
        <v>0.16666666666666663</v>
      </c>
    </row>
    <row r="107" spans="1:20" x14ac:dyDescent="0.2">
      <c r="A107" s="27" t="s">
        <v>148</v>
      </c>
      <c r="B107" s="26">
        <f>'Hard + Soft Costs'!E150</f>
        <v>13000000</v>
      </c>
      <c r="C107" s="34">
        <v>0</v>
      </c>
      <c r="D107" s="34">
        <v>0</v>
      </c>
      <c r="E107" s="35">
        <v>1</v>
      </c>
    </row>
    <row r="108" spans="1:20" x14ac:dyDescent="0.2">
      <c r="A108" s="27" t="s">
        <v>89</v>
      </c>
      <c r="B108" s="26">
        <f>2250000*E3/3.67</f>
        <v>2250000</v>
      </c>
      <c r="C108" s="34">
        <v>0.16666666666666666</v>
      </c>
      <c r="D108" s="34">
        <v>0.66666666666666674</v>
      </c>
      <c r="E108" s="35">
        <v>0.16666666666666663</v>
      </c>
    </row>
    <row r="109" spans="1:20" x14ac:dyDescent="0.2">
      <c r="A109" s="27" t="s">
        <v>90</v>
      </c>
      <c r="B109" s="26">
        <f>2250000*E3/3.67</f>
        <v>2250000</v>
      </c>
      <c r="C109" s="34">
        <v>0</v>
      </c>
      <c r="D109" s="34">
        <v>0</v>
      </c>
      <c r="E109" s="35">
        <v>1</v>
      </c>
    </row>
    <row r="110" spans="1:20" x14ac:dyDescent="0.2">
      <c r="A110" s="27" t="s">
        <v>91</v>
      </c>
      <c r="B110" s="26">
        <f>SUM(B105:B107)*0.015</f>
        <v>327680.20665375015</v>
      </c>
      <c r="C110" s="34">
        <v>0.4</v>
      </c>
      <c r="D110" s="34">
        <v>0.4</v>
      </c>
      <c r="E110" s="35">
        <v>0.19999999999999996</v>
      </c>
    </row>
    <row r="111" spans="1:20" ht="17" thickBot="1" x14ac:dyDescent="0.25">
      <c r="A111" s="28" t="s">
        <v>62</v>
      </c>
      <c r="B111" s="29">
        <f>SUM(B104:B110)</f>
        <v>26673027.316903763</v>
      </c>
      <c r="C111" s="30"/>
      <c r="D111" s="30"/>
      <c r="E111" s="31"/>
    </row>
    <row r="112" spans="1:20" x14ac:dyDescent="0.2">
      <c r="A112" s="32" t="s">
        <v>92</v>
      </c>
    </row>
    <row r="113" spans="1:9" x14ac:dyDescent="0.2">
      <c r="C113" t="s">
        <v>94</v>
      </c>
    </row>
    <row r="114" spans="1:9" x14ac:dyDescent="0.2">
      <c r="A114" s="72" t="s">
        <v>202</v>
      </c>
      <c r="B114" s="19" t="s">
        <v>203</v>
      </c>
      <c r="C114" s="19"/>
      <c r="D114" s="19"/>
      <c r="E114" s="19"/>
      <c r="F114" s="19"/>
      <c r="G114" s="19"/>
      <c r="H114" s="19"/>
      <c r="I114" s="19"/>
    </row>
    <row r="115" spans="1:9" x14ac:dyDescent="0.2">
      <c r="B115" s="47" t="s">
        <v>95</v>
      </c>
      <c r="C115" s="47" t="s">
        <v>96</v>
      </c>
    </row>
    <row r="116" spans="1:9" x14ac:dyDescent="0.2">
      <c r="A116" s="51" t="s">
        <v>97</v>
      </c>
      <c r="B116" s="196">
        <f>'Bay Revenue'!B25</f>
        <v>200</v>
      </c>
      <c r="C116" s="54">
        <f>B116/E3</f>
        <v>54.495912806539508</v>
      </c>
      <c r="E116" s="32"/>
      <c r="F116" s="32"/>
      <c r="G116" s="32"/>
    </row>
    <row r="117" spans="1:9" x14ac:dyDescent="0.2">
      <c r="A117" s="51"/>
      <c r="B117" s="52"/>
      <c r="C117" s="70"/>
      <c r="E117" s="95" t="s">
        <v>204</v>
      </c>
      <c r="F117" s="95" t="s">
        <v>205</v>
      </c>
      <c r="H117" s="95" t="s">
        <v>204</v>
      </c>
      <c r="I117" s="95" t="s">
        <v>205</v>
      </c>
    </row>
    <row r="118" spans="1:9" x14ac:dyDescent="0.2">
      <c r="A118" s="51" t="s">
        <v>111</v>
      </c>
      <c r="B118" s="198">
        <f>('Bay Revenue'!G28+'Bay Revenue'!I28)*'Bay Revenue'!C28/'Bay Revenue'!C30+('Bay Revenue'!G29+'Bay Revenue'!I29)*'Bay Revenue'!C29/'Bay Revenue'!C30</f>
        <v>15.29041095890411</v>
      </c>
      <c r="C118" s="70"/>
      <c r="D118" s="200" t="s">
        <v>154</v>
      </c>
      <c r="E118" s="199">
        <f>'Bay Revenue'!I28</f>
        <v>7</v>
      </c>
      <c r="F118" s="197">
        <f>'Bay Revenue'!G28</f>
        <v>7</v>
      </c>
      <c r="G118" s="200" t="s">
        <v>163</v>
      </c>
      <c r="H118" s="199">
        <f>'Bay Revenue'!I29</f>
        <v>9</v>
      </c>
      <c r="I118" s="197">
        <f>'Bay Revenue'!G29</f>
        <v>8</v>
      </c>
    </row>
    <row r="119" spans="1:9" ht="17" thickBot="1" x14ac:dyDescent="0.25"/>
    <row r="120" spans="1:9" x14ac:dyDescent="0.2">
      <c r="A120" s="21" t="s">
        <v>98</v>
      </c>
      <c r="B120" s="55" t="s">
        <v>99</v>
      </c>
      <c r="C120" s="55" t="s">
        <v>100</v>
      </c>
      <c r="D120" s="55" t="s">
        <v>101</v>
      </c>
      <c r="E120" s="350" t="s">
        <v>102</v>
      </c>
      <c r="F120" s="351"/>
      <c r="G120" s="55" t="s">
        <v>103</v>
      </c>
      <c r="H120" s="350" t="s">
        <v>104</v>
      </c>
      <c r="I120" s="352"/>
    </row>
    <row r="121" spans="1:9" x14ac:dyDescent="0.2">
      <c r="A121" s="56"/>
      <c r="B121" s="57"/>
      <c r="C121" s="57"/>
      <c r="D121" s="57"/>
      <c r="E121" s="57" t="str">
        <f>B115</f>
        <v>AED</v>
      </c>
      <c r="F121" s="57" t="str">
        <f>C115</f>
        <v>USD</v>
      </c>
      <c r="G121" s="57"/>
      <c r="H121" s="58" t="str">
        <f>E121</f>
        <v>AED</v>
      </c>
      <c r="I121" s="59" t="str">
        <f>F121</f>
        <v>USD</v>
      </c>
    </row>
    <row r="122" spans="1:9" x14ac:dyDescent="0.2">
      <c r="A122" s="48" t="s">
        <v>105</v>
      </c>
      <c r="B122" s="49">
        <f>'Bay Revenue'!B7</f>
        <v>0</v>
      </c>
      <c r="C122" s="98" t="e">
        <f>'Bay Revenue'!C7</f>
        <v>#DIV/0!</v>
      </c>
      <c r="D122" s="99" t="e">
        <f>'Bay Revenue'!D7</f>
        <v>#DIV/0!</v>
      </c>
      <c r="E122" s="61">
        <f>'Bay Revenue'!E7</f>
        <v>0</v>
      </c>
      <c r="F122" s="61">
        <f>'Bay Revenue'!F7</f>
        <v>0</v>
      </c>
      <c r="G122" s="100" t="e">
        <f>'Bay Revenue'!G7</f>
        <v>#DIV/0!</v>
      </c>
      <c r="H122" s="50">
        <f>'Bay Revenue'!H7</f>
        <v>0</v>
      </c>
      <c r="I122" s="62">
        <f>'Bay Revenue'!I7</f>
        <v>0</v>
      </c>
    </row>
    <row r="123" spans="1:9" x14ac:dyDescent="0.2">
      <c r="A123" s="48" t="s">
        <v>106</v>
      </c>
      <c r="B123" s="49">
        <f>'Bay Revenue'!B8</f>
        <v>25</v>
      </c>
      <c r="C123" s="98">
        <f>'Bay Revenue'!C8</f>
        <v>1</v>
      </c>
      <c r="D123" s="99">
        <f>'Bay Revenue'!D8</f>
        <v>3052.1917808219177</v>
      </c>
      <c r="E123" s="61">
        <f>'Bay Revenue'!E8</f>
        <v>27851250</v>
      </c>
      <c r="F123" s="61">
        <f>'Bay Revenue'!F8</f>
        <v>7588896.4577656686</v>
      </c>
      <c r="G123" s="100">
        <f>'Bay Revenue'!G8</f>
        <v>0.55120990515656354</v>
      </c>
      <c r="H123" s="50">
        <f>'Bay Revenue'!H8</f>
        <v>15351884.87099174</v>
      </c>
      <c r="I123" s="62">
        <f>'Bay Revenue'!I8</f>
        <v>4183074.896727995</v>
      </c>
    </row>
    <row r="124" spans="1:9" x14ac:dyDescent="0.2">
      <c r="A124" s="48" t="s">
        <v>107</v>
      </c>
      <c r="B124" s="49">
        <f>'Bay Revenue'!B9</f>
        <v>0</v>
      </c>
      <c r="C124" s="98" t="e">
        <f>'Bay Revenue'!C9</f>
        <v>#DIV/0!</v>
      </c>
      <c r="D124" s="99" t="e">
        <f>'Bay Revenue'!D9</f>
        <v>#DIV/0!</v>
      </c>
      <c r="E124" s="61">
        <f>'Bay Revenue'!E9</f>
        <v>0</v>
      </c>
      <c r="F124" s="61">
        <f>'Bay Revenue'!F9</f>
        <v>0</v>
      </c>
      <c r="G124" s="100" t="e">
        <f>'Bay Revenue'!G9</f>
        <v>#DIV/0!</v>
      </c>
      <c r="H124" s="50">
        <f>'Bay Revenue'!H9</f>
        <v>0</v>
      </c>
      <c r="I124" s="62">
        <f>'Bay Revenue'!I9</f>
        <v>0</v>
      </c>
    </row>
    <row r="125" spans="1:9" x14ac:dyDescent="0.2">
      <c r="A125" s="48" t="s">
        <v>108</v>
      </c>
      <c r="B125" s="49">
        <f>'Bay Revenue'!B10</f>
        <v>0</v>
      </c>
      <c r="C125" s="98" t="e">
        <f>'Bay Revenue'!C10</f>
        <v>#DIV/0!</v>
      </c>
      <c r="D125" s="99" t="e">
        <f>'Bay Revenue'!D10</f>
        <v>#DIV/0!</v>
      </c>
      <c r="E125" s="61">
        <f>'Bay Revenue'!E10</f>
        <v>0</v>
      </c>
      <c r="F125" s="61">
        <f>'Bay Revenue'!F10</f>
        <v>0</v>
      </c>
      <c r="G125" s="100" t="e">
        <f>'Bay Revenue'!G10</f>
        <v>#DIV/0!</v>
      </c>
      <c r="H125" s="50">
        <f>'Bay Revenue'!H10</f>
        <v>0</v>
      </c>
      <c r="I125" s="62">
        <f>'Bay Revenue'!I10</f>
        <v>0</v>
      </c>
    </row>
    <row r="126" spans="1:9" ht="17" thickBot="1" x14ac:dyDescent="0.25">
      <c r="A126" s="28" t="s">
        <v>62</v>
      </c>
      <c r="B126" s="64">
        <f>'Bay Revenue'!B11</f>
        <v>25</v>
      </c>
      <c r="C126" s="65"/>
      <c r="D126" s="29">
        <f>'Bay Revenue'!D11</f>
        <v>3052.1917808219177</v>
      </c>
      <c r="E126" s="29">
        <f>'Bay Revenue'!E11</f>
        <v>27851250</v>
      </c>
      <c r="F126" s="29">
        <f>'Bay Revenue'!F11</f>
        <v>7588896.4577656686</v>
      </c>
      <c r="G126" s="66">
        <f>'Bay Revenue'!G11</f>
        <v>0.55120990515656354</v>
      </c>
      <c r="H126" s="67">
        <f>'Bay Revenue'!H11</f>
        <v>15351884.87099174</v>
      </c>
      <c r="I126" s="68">
        <f>'Bay Revenue'!I11</f>
        <v>4183074.896727995</v>
      </c>
    </row>
    <row r="127" spans="1:9" x14ac:dyDescent="0.2">
      <c r="A127" s="32" t="s">
        <v>92</v>
      </c>
    </row>
    <row r="128" spans="1:9" ht="17" thickBot="1" x14ac:dyDescent="0.25">
      <c r="E128" t="s">
        <v>94</v>
      </c>
    </row>
    <row r="129" spans="1:11" x14ac:dyDescent="0.2">
      <c r="A129" s="21" t="s">
        <v>114</v>
      </c>
      <c r="B129" s="73" t="s">
        <v>99</v>
      </c>
      <c r="C129" s="353" t="s">
        <v>115</v>
      </c>
      <c r="D129" s="354"/>
      <c r="E129" s="352"/>
      <c r="F129" s="353" t="s">
        <v>116</v>
      </c>
      <c r="G129" s="354"/>
      <c r="H129" s="354"/>
      <c r="I129" s="352"/>
    </row>
    <row r="130" spans="1:11" x14ac:dyDescent="0.2">
      <c r="A130" s="56"/>
      <c r="B130" s="74"/>
      <c r="C130" s="75" t="s">
        <v>117</v>
      </c>
      <c r="D130" s="76" t="s">
        <v>118</v>
      </c>
      <c r="E130" s="77" t="s">
        <v>119</v>
      </c>
      <c r="F130" s="78" t="s">
        <v>120</v>
      </c>
      <c r="G130" s="57" t="s">
        <v>121</v>
      </c>
      <c r="H130" s="58" t="s">
        <v>122</v>
      </c>
      <c r="I130" s="59" t="s">
        <v>123</v>
      </c>
    </row>
    <row r="131" spans="1:11" x14ac:dyDescent="0.2">
      <c r="A131" s="48" t="s">
        <v>105</v>
      </c>
      <c r="B131" s="79">
        <f>'Bay Revenue'!B16</f>
        <v>0</v>
      </c>
      <c r="C131" s="80" t="e">
        <f>'Bay Revenue'!C16</f>
        <v>#DIV/0!</v>
      </c>
      <c r="D131" s="81" t="e">
        <f>'Bay Revenue'!D16</f>
        <v>#DIV/0!</v>
      </c>
      <c r="E131" s="82">
        <f>'Bay Revenue'!E16</f>
        <v>0</v>
      </c>
      <c r="F131" s="284" t="e">
        <f>'Bay Revenue'!F16</f>
        <v>#DIV/0!</v>
      </c>
      <c r="G131" s="201" t="e">
        <f>'Bay Revenue'!G16</f>
        <v>#DIV/0!</v>
      </c>
      <c r="H131" s="50">
        <f>'Bay Revenue'!H16</f>
        <v>0</v>
      </c>
      <c r="I131" s="62" t="e">
        <f>'Bay Revenue'!I16</f>
        <v>#DIV/0!</v>
      </c>
    </row>
    <row r="132" spans="1:11" x14ac:dyDescent="0.2">
      <c r="A132" s="48" t="s">
        <v>106</v>
      </c>
      <c r="B132" s="79">
        <f>'Bay Revenue'!B17</f>
        <v>25</v>
      </c>
      <c r="C132" s="80">
        <f>'Bay Revenue'!C17</f>
        <v>8.4282259744624142</v>
      </c>
      <c r="D132" s="81">
        <f>'Bay Revenue'!D17</f>
        <v>2803.1479723785305</v>
      </c>
      <c r="E132" s="82">
        <f>'Bay Revenue'!E17</f>
        <v>70078.699309463263</v>
      </c>
      <c r="F132" s="284">
        <f>'Bay Revenue'!F17</f>
        <v>4</v>
      </c>
      <c r="G132" s="201">
        <f>'Bay Revenue'!G17</f>
        <v>2</v>
      </c>
      <c r="H132" s="50">
        <f>'Bay Revenue'!H17</f>
        <v>140157.39861892653</v>
      </c>
      <c r="I132" s="62">
        <f>'Bay Revenue'!I17</f>
        <v>5606.2959447570611</v>
      </c>
      <c r="K132" s="83"/>
    </row>
    <row r="133" spans="1:11" x14ac:dyDescent="0.2">
      <c r="A133" s="48" t="s">
        <v>107</v>
      </c>
      <c r="B133" s="79">
        <f>'Bay Revenue'!B18</f>
        <v>0</v>
      </c>
      <c r="C133" s="80" t="e">
        <f>'Bay Revenue'!C18</f>
        <v>#DIV/0!</v>
      </c>
      <c r="D133" s="81" t="e">
        <f>'Bay Revenue'!D18</f>
        <v>#DIV/0!</v>
      </c>
      <c r="E133" s="82">
        <f>'Bay Revenue'!E18</f>
        <v>0</v>
      </c>
      <c r="F133" s="284" t="e">
        <f>'Bay Revenue'!F18</f>
        <v>#DIV/0!</v>
      </c>
      <c r="G133" s="201" t="e">
        <f>'Bay Revenue'!G18</f>
        <v>#DIV/0!</v>
      </c>
      <c r="H133" s="50">
        <f>'Bay Revenue'!H18</f>
        <v>0</v>
      </c>
      <c r="I133" s="62" t="e">
        <f>'Bay Revenue'!I18</f>
        <v>#DIV/0!</v>
      </c>
    </row>
    <row r="134" spans="1:11" x14ac:dyDescent="0.2">
      <c r="A134" s="48" t="s">
        <v>108</v>
      </c>
      <c r="B134" s="79">
        <f>'Bay Revenue'!B19</f>
        <v>0</v>
      </c>
      <c r="C134" s="80" t="e">
        <f>'Bay Revenue'!C19</f>
        <v>#DIV/0!</v>
      </c>
      <c r="D134" s="81" t="e">
        <f>'Bay Revenue'!D19</f>
        <v>#DIV/0!</v>
      </c>
      <c r="E134" s="82">
        <f>'Bay Revenue'!E19</f>
        <v>0</v>
      </c>
      <c r="F134" s="284" t="e">
        <f>'Bay Revenue'!F19</f>
        <v>#DIV/0!</v>
      </c>
      <c r="G134" s="201" t="e">
        <f>'Bay Revenue'!G19</f>
        <v>#DIV/0!</v>
      </c>
      <c r="H134" s="50">
        <f>'Bay Revenue'!H19</f>
        <v>0</v>
      </c>
      <c r="I134" s="62" t="e">
        <f>'Bay Revenue'!I19</f>
        <v>#DIV/0!</v>
      </c>
    </row>
    <row r="135" spans="1:11" ht="17" thickBot="1" x14ac:dyDescent="0.25">
      <c r="A135" s="28" t="s">
        <v>62</v>
      </c>
      <c r="B135" s="84">
        <f>'Bay Revenue'!B20</f>
        <v>25</v>
      </c>
      <c r="C135" s="85">
        <f>'Bay Revenue'!C20</f>
        <v>8.4282259744624142</v>
      </c>
      <c r="D135" s="86">
        <f>'Bay Revenue'!D20</f>
        <v>2803.1479723785305</v>
      </c>
      <c r="E135" s="31">
        <f>'Bay Revenue'!E20</f>
        <v>70078.699309463263</v>
      </c>
      <c r="F135" s="87"/>
      <c r="G135" s="87"/>
      <c r="H135" s="67">
        <f>'Bay Revenue'!H20</f>
        <v>140157.39861892653</v>
      </c>
      <c r="I135" s="68">
        <f>'Bay Revenue'!I20</f>
        <v>5606.2959447570611</v>
      </c>
    </row>
    <row r="136" spans="1:11" x14ac:dyDescent="0.2">
      <c r="C136" t="s">
        <v>94</v>
      </c>
    </row>
    <row r="137" spans="1:11" x14ac:dyDescent="0.2">
      <c r="A137" s="2" t="s">
        <v>362</v>
      </c>
    </row>
    <row r="138" spans="1:11" x14ac:dyDescent="0.2">
      <c r="A138" t="s">
        <v>363</v>
      </c>
    </row>
  </sheetData>
  <mergeCells count="6">
    <mergeCell ref="M1:N1"/>
    <mergeCell ref="E120:F120"/>
    <mergeCell ref="H120:I120"/>
    <mergeCell ref="C129:E129"/>
    <mergeCell ref="F129:I129"/>
    <mergeCell ref="E8:N8"/>
  </mergeCells>
  <pageMargins left="0.7" right="0.7" top="0.75" bottom="0.75" header="0.3" footer="0.3"/>
  <pageSetup paperSize="9" scale="32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DC24-AE2C-2F4C-8A4A-13EB1CB236CB}">
  <dimension ref="A1:K184"/>
  <sheetViews>
    <sheetView topLeftCell="A11" zoomScale="93" zoomScaleNormal="70" workbookViewId="0">
      <selection activeCell="B10" sqref="B10"/>
    </sheetView>
  </sheetViews>
  <sheetFormatPr baseColWidth="10" defaultColWidth="10.6640625" defaultRowHeight="16" x14ac:dyDescent="0.2"/>
  <cols>
    <col min="1" max="1" width="28.83203125" bestFit="1" customWidth="1"/>
    <col min="2" max="2" width="11.1640625" bestFit="1" customWidth="1"/>
    <col min="3" max="3" width="15.6640625" bestFit="1" customWidth="1"/>
    <col min="4" max="4" width="18.83203125" customWidth="1"/>
    <col min="5" max="5" width="17.6640625" customWidth="1"/>
    <col min="6" max="6" width="15.1640625" customWidth="1"/>
    <col min="7" max="7" width="14.33203125" bestFit="1" customWidth="1"/>
    <col min="8" max="8" width="13.5" bestFit="1" customWidth="1"/>
    <col min="9" max="9" width="15" customWidth="1"/>
    <col min="10" max="10" width="10.83203125" customWidth="1"/>
    <col min="11" max="11" width="11.5" bestFit="1" customWidth="1"/>
  </cols>
  <sheetData>
    <row r="1" spans="1:9" s="243" customFormat="1" ht="24" x14ac:dyDescent="0.3">
      <c r="A1" s="242" t="s">
        <v>150</v>
      </c>
      <c r="H1" s="349">
        <f>'Financial Summary'!M1</f>
        <v>45135</v>
      </c>
      <c r="I1" s="367"/>
    </row>
    <row r="3" spans="1:9" x14ac:dyDescent="0.2">
      <c r="A3" s="13" t="s">
        <v>151</v>
      </c>
      <c r="B3" s="4"/>
      <c r="C3" s="4"/>
      <c r="D3" s="4"/>
      <c r="E3" s="4"/>
      <c r="F3" s="4"/>
      <c r="G3" s="4"/>
      <c r="H3" s="4"/>
      <c r="I3" s="4"/>
    </row>
    <row r="4" spans="1:9" ht="17" thickBot="1" x14ac:dyDescent="0.25">
      <c r="A4" s="2"/>
    </row>
    <row r="5" spans="1:9" x14ac:dyDescent="0.2">
      <c r="A5" s="21" t="s">
        <v>98</v>
      </c>
      <c r="B5" s="55" t="s">
        <v>99</v>
      </c>
      <c r="C5" s="55" t="s">
        <v>100</v>
      </c>
      <c r="D5" s="55" t="s">
        <v>101</v>
      </c>
      <c r="E5" s="350" t="s">
        <v>102</v>
      </c>
      <c r="F5" s="351"/>
      <c r="G5" s="55" t="s">
        <v>361</v>
      </c>
      <c r="H5" s="350" t="s">
        <v>104</v>
      </c>
      <c r="I5" s="352"/>
    </row>
    <row r="6" spans="1:9" x14ac:dyDescent="0.2">
      <c r="A6" s="56"/>
      <c r="B6" s="57"/>
      <c r="C6" s="57"/>
      <c r="D6" s="57"/>
      <c r="E6" s="57" t="str">
        <f>B24</f>
        <v>AED</v>
      </c>
      <c r="F6" s="57" t="str">
        <f>C24</f>
        <v>USD</v>
      </c>
      <c r="G6" s="57"/>
      <c r="H6" s="58" t="str">
        <f>B24</f>
        <v>AED</v>
      </c>
      <c r="I6" s="59" t="str">
        <f>C24</f>
        <v>USD</v>
      </c>
    </row>
    <row r="7" spans="1:9" x14ac:dyDescent="0.2">
      <c r="A7" s="48" t="s">
        <v>105</v>
      </c>
      <c r="B7" s="244">
        <v>0</v>
      </c>
      <c r="C7" s="98" t="e">
        <f>D7/D8</f>
        <v>#DIV/0!</v>
      </c>
      <c r="D7" s="99" t="e">
        <f>E7/B7/$C30</f>
        <v>#DIV/0!</v>
      </c>
      <c r="E7" s="61">
        <f t="shared" ref="E7:F10" si="0">E64+E86+E110+E132</f>
        <v>0</v>
      </c>
      <c r="F7" s="61">
        <f t="shared" si="0"/>
        <v>0</v>
      </c>
      <c r="G7" s="100" t="e">
        <f>H7/E7</f>
        <v>#DIV/0!</v>
      </c>
      <c r="H7" s="61">
        <f t="shared" ref="H7:I10" si="1">H64+H86+H110+H132</f>
        <v>0</v>
      </c>
      <c r="I7" s="62">
        <f t="shared" si="1"/>
        <v>0</v>
      </c>
    </row>
    <row r="8" spans="1:9" x14ac:dyDescent="0.2">
      <c r="A8" s="48" t="s">
        <v>106</v>
      </c>
      <c r="B8" s="244">
        <v>25</v>
      </c>
      <c r="C8" s="63">
        <v>1</v>
      </c>
      <c r="D8" s="99">
        <f>E8/B8/$C30</f>
        <v>3052.1917808219177</v>
      </c>
      <c r="E8" s="61">
        <f t="shared" si="0"/>
        <v>27851250</v>
      </c>
      <c r="F8" s="61">
        <f t="shared" si="0"/>
        <v>7588896.4577656686</v>
      </c>
      <c r="G8" s="100">
        <f t="shared" ref="G8:G10" si="2">H8/E8</f>
        <v>0.55120990515656354</v>
      </c>
      <c r="H8" s="61">
        <f t="shared" si="1"/>
        <v>15351884.87099174</v>
      </c>
      <c r="I8" s="62">
        <f t="shared" si="1"/>
        <v>4183074.896727995</v>
      </c>
    </row>
    <row r="9" spans="1:9" x14ac:dyDescent="0.2">
      <c r="A9" s="48" t="s">
        <v>107</v>
      </c>
      <c r="B9" s="244">
        <v>0</v>
      </c>
      <c r="C9" s="98" t="e">
        <f>D9/D8</f>
        <v>#DIV/0!</v>
      </c>
      <c r="D9" s="99" t="e">
        <f>E9/B9/$C30</f>
        <v>#DIV/0!</v>
      </c>
      <c r="E9" s="61">
        <f t="shared" si="0"/>
        <v>0</v>
      </c>
      <c r="F9" s="61">
        <f t="shared" si="0"/>
        <v>0</v>
      </c>
      <c r="G9" s="100" t="e">
        <f t="shared" si="2"/>
        <v>#DIV/0!</v>
      </c>
      <c r="H9" s="61">
        <f t="shared" si="1"/>
        <v>0</v>
      </c>
      <c r="I9" s="62">
        <f t="shared" si="1"/>
        <v>0</v>
      </c>
    </row>
    <row r="10" spans="1:9" x14ac:dyDescent="0.2">
      <c r="A10" s="48" t="s">
        <v>108</v>
      </c>
      <c r="B10" s="244">
        <v>0</v>
      </c>
      <c r="C10" s="98" t="e">
        <f>D10/D8</f>
        <v>#DIV/0!</v>
      </c>
      <c r="D10" s="99" t="e">
        <f>E10/B10/$C30</f>
        <v>#DIV/0!</v>
      </c>
      <c r="E10" s="61">
        <f t="shared" si="0"/>
        <v>0</v>
      </c>
      <c r="F10" s="61">
        <f t="shared" si="0"/>
        <v>0</v>
      </c>
      <c r="G10" s="100" t="e">
        <f t="shared" si="2"/>
        <v>#DIV/0!</v>
      </c>
      <c r="H10" s="61">
        <f t="shared" si="1"/>
        <v>0</v>
      </c>
      <c r="I10" s="62">
        <f t="shared" si="1"/>
        <v>0</v>
      </c>
    </row>
    <row r="11" spans="1:9" ht="17" thickBot="1" x14ac:dyDescent="0.25">
      <c r="A11" s="28" t="s">
        <v>62</v>
      </c>
      <c r="B11" s="64">
        <f>SUM(B7:B10)</f>
        <v>25</v>
      </c>
      <c r="C11" s="65"/>
      <c r="D11" s="29">
        <f>E11/B11/$C30</f>
        <v>3052.1917808219177</v>
      </c>
      <c r="E11" s="29">
        <f>SUM(E7:E10)</f>
        <v>27851250</v>
      </c>
      <c r="F11" s="29">
        <f>SUM(F7:F10)</f>
        <v>7588896.4577656686</v>
      </c>
      <c r="G11" s="66">
        <f>H11/E11</f>
        <v>0.55120990515656354</v>
      </c>
      <c r="H11" s="67">
        <f>SUM(H7:H10)</f>
        <v>15351884.87099174</v>
      </c>
      <c r="I11" s="68">
        <f>SUM(I7:I10)</f>
        <v>4183074.896727995</v>
      </c>
    </row>
    <row r="12" spans="1:9" x14ac:dyDescent="0.2">
      <c r="A12" s="32" t="s">
        <v>92</v>
      </c>
      <c r="D12" s="281"/>
      <c r="E12" s="3"/>
      <c r="F12" s="281"/>
      <c r="H12" s="271"/>
    </row>
    <row r="13" spans="1:9" ht="17" thickBot="1" x14ac:dyDescent="0.25"/>
    <row r="14" spans="1:9" x14ac:dyDescent="0.2">
      <c r="A14" s="21" t="s">
        <v>114</v>
      </c>
      <c r="B14" s="55" t="s">
        <v>99</v>
      </c>
      <c r="C14" s="354" t="s">
        <v>115</v>
      </c>
      <c r="D14" s="354"/>
      <c r="E14" s="352"/>
      <c r="F14" s="353" t="s">
        <v>116</v>
      </c>
      <c r="G14" s="354"/>
      <c r="H14" s="354"/>
      <c r="I14" s="352"/>
    </row>
    <row r="15" spans="1:9" x14ac:dyDescent="0.2">
      <c r="A15" s="56"/>
      <c r="B15" s="57"/>
      <c r="C15" s="245" t="s">
        <v>117</v>
      </c>
      <c r="D15" s="76" t="s">
        <v>118</v>
      </c>
      <c r="E15" s="77" t="s">
        <v>119</v>
      </c>
      <c r="F15" s="78" t="s">
        <v>120</v>
      </c>
      <c r="G15" s="57" t="s">
        <v>121</v>
      </c>
      <c r="H15" s="58" t="s">
        <v>122</v>
      </c>
      <c r="I15" s="59" t="s">
        <v>123</v>
      </c>
    </row>
    <row r="16" spans="1:9" x14ac:dyDescent="0.2">
      <c r="A16" s="48" t="s">
        <v>105</v>
      </c>
      <c r="B16" s="49">
        <f>B7</f>
        <v>0</v>
      </c>
      <c r="C16" s="246" t="e">
        <f>(($G$28+$I$28)*$C$28/$C$30+($G$29+$I$29)*$C$29/$C$30)*G7</f>
        <v>#DIV/0!</v>
      </c>
      <c r="D16" s="81" t="e">
        <f>E16/B16</f>
        <v>#DIV/0!</v>
      </c>
      <c r="E16" s="82">
        <f>E73+E95+E119+E141</f>
        <v>0</v>
      </c>
      <c r="F16" s="101" t="e">
        <f>H16/E16*G16</f>
        <v>#DIV/0!</v>
      </c>
      <c r="G16" s="102" t="e">
        <f>(G141*H141+G119*H119+G95*H95+G73*H73)/H16</f>
        <v>#DIV/0!</v>
      </c>
      <c r="H16" s="61">
        <f>H73+H95+H119+H141</f>
        <v>0</v>
      </c>
      <c r="I16" s="62" t="e">
        <f>H16/B16</f>
        <v>#DIV/0!</v>
      </c>
    </row>
    <row r="17" spans="1:11" x14ac:dyDescent="0.2">
      <c r="A17" s="48" t="s">
        <v>106</v>
      </c>
      <c r="B17" s="49">
        <f t="shared" ref="B17:B19" si="3">B8</f>
        <v>25</v>
      </c>
      <c r="C17" s="246">
        <f>(($G$28+$I$28)*$C$28/$C$30+($G$29+$I$29)*$C$29/$C$30)*G8</f>
        <v>8.4282259744624142</v>
      </c>
      <c r="D17" s="81">
        <f t="shared" ref="D17:D19" si="4">E17/B17</f>
        <v>2803.1479723785305</v>
      </c>
      <c r="E17" s="82">
        <f>E74+E96+E120+E142</f>
        <v>70078.699309463263</v>
      </c>
      <c r="F17" s="101">
        <f>H17/E17*G17</f>
        <v>4</v>
      </c>
      <c r="G17" s="102">
        <f>(G142*H142+G120*H120+G96*H96+G74*H74)/H17</f>
        <v>2</v>
      </c>
      <c r="H17" s="61">
        <f>H74+H96+H120+H142</f>
        <v>140157.39861892653</v>
      </c>
      <c r="I17" s="62">
        <f t="shared" ref="I17" si="5">H17/B17</f>
        <v>5606.2959447570611</v>
      </c>
      <c r="K17" s="83"/>
    </row>
    <row r="18" spans="1:11" x14ac:dyDescent="0.2">
      <c r="A18" s="48" t="s">
        <v>107</v>
      </c>
      <c r="B18" s="49">
        <f t="shared" si="3"/>
        <v>0</v>
      </c>
      <c r="C18" s="246" t="e">
        <f>(($G$28+$I$28)*$C$28/$C$30+($G$29+$I$29)*$C$29/$C$30)*G9</f>
        <v>#DIV/0!</v>
      </c>
      <c r="D18" s="81" t="e">
        <f t="shared" si="4"/>
        <v>#DIV/0!</v>
      </c>
      <c r="E18" s="82">
        <f>E75+E97+E121+E143</f>
        <v>0</v>
      </c>
      <c r="F18" s="101" t="e">
        <f>H18/E18*G18</f>
        <v>#DIV/0!</v>
      </c>
      <c r="G18" s="102" t="e">
        <f>(G143*H143+G121*H121+G97*H97+G75*H75)/H18</f>
        <v>#DIV/0!</v>
      </c>
      <c r="H18" s="61">
        <f>H75+H97+H121+H143</f>
        <v>0</v>
      </c>
      <c r="I18" s="62" t="e">
        <f>H18/B18</f>
        <v>#DIV/0!</v>
      </c>
    </row>
    <row r="19" spans="1:11" x14ac:dyDescent="0.2">
      <c r="A19" s="48" t="s">
        <v>108</v>
      </c>
      <c r="B19" s="49">
        <f t="shared" si="3"/>
        <v>0</v>
      </c>
      <c r="C19" s="246" t="e">
        <f>(($G$28+$I$28)*$C$28/$C$30+($G$29+$I$29)*$C$29/$C$30)*G10</f>
        <v>#DIV/0!</v>
      </c>
      <c r="D19" s="81" t="e">
        <f t="shared" si="4"/>
        <v>#DIV/0!</v>
      </c>
      <c r="E19" s="82">
        <f>E76+E98+E122+E144</f>
        <v>0</v>
      </c>
      <c r="F19" s="101" t="e">
        <f>H19/E19*G19</f>
        <v>#DIV/0!</v>
      </c>
      <c r="G19" s="102" t="e">
        <f>(G144*H144+G122*H122+G98*H98+G76*H76)/H19</f>
        <v>#DIV/0!</v>
      </c>
      <c r="H19" s="61">
        <f>H76+H98+H122+H144</f>
        <v>0</v>
      </c>
      <c r="I19" s="62" t="e">
        <f t="shared" ref="I19" si="6">H19/B19</f>
        <v>#DIV/0!</v>
      </c>
    </row>
    <row r="20" spans="1:11" ht="17" thickBot="1" x14ac:dyDescent="0.25">
      <c r="A20" s="28" t="s">
        <v>62</v>
      </c>
      <c r="B20" s="64">
        <f>SUM(B16:B19)</f>
        <v>25</v>
      </c>
      <c r="C20" s="248">
        <f>(($G$28+$I$28)*$C$28/$C$30+($G$29+$I$29)*$C$29/$C$30)*G11</f>
        <v>8.4282259744624142</v>
      </c>
      <c r="D20" s="86">
        <f>E20/B20</f>
        <v>2803.1479723785305</v>
      </c>
      <c r="E20" s="31">
        <f>SUM(E16:E19)</f>
        <v>70078.699309463263</v>
      </c>
      <c r="F20" s="87"/>
      <c r="G20" s="87"/>
      <c r="H20" s="67">
        <f>SUM(H16:H19)</f>
        <v>140157.39861892653</v>
      </c>
      <c r="I20" s="68">
        <f>H20/B20</f>
        <v>5606.2959447570611</v>
      </c>
    </row>
    <row r="21" spans="1:11" x14ac:dyDescent="0.2">
      <c r="D21" s="3"/>
      <c r="E21" s="3"/>
      <c r="H21" s="3"/>
      <c r="I21" s="3"/>
    </row>
    <row r="23" spans="1:11" x14ac:dyDescent="0.2">
      <c r="A23" s="103" t="s">
        <v>152</v>
      </c>
      <c r="B23" s="104"/>
      <c r="C23" s="104"/>
      <c r="D23" s="104"/>
      <c r="E23" s="104"/>
      <c r="F23" s="104"/>
      <c r="G23" s="104"/>
      <c r="H23" s="104"/>
      <c r="I23" s="104"/>
    </row>
    <row r="24" spans="1:11" x14ac:dyDescent="0.2">
      <c r="B24" s="312" t="s">
        <v>95</v>
      </c>
      <c r="C24" s="47" t="s">
        <v>96</v>
      </c>
    </row>
    <row r="25" spans="1:11" x14ac:dyDescent="0.2">
      <c r="A25" s="258" t="s">
        <v>97</v>
      </c>
      <c r="B25" s="53">
        <v>200</v>
      </c>
      <c r="C25" s="54">
        <f>B25/'Financial Summary'!$E$3</f>
        <v>54.495912806539508</v>
      </c>
      <c r="E25" s="258" t="s">
        <v>153</v>
      </c>
      <c r="F25" s="265" t="s">
        <v>154</v>
      </c>
      <c r="G25" s="71" t="s">
        <v>155</v>
      </c>
      <c r="H25" s="265" t="s">
        <v>154</v>
      </c>
      <c r="I25" s="71" t="s">
        <v>156</v>
      </c>
    </row>
    <row r="26" spans="1:11" x14ac:dyDescent="0.2">
      <c r="E26" s="97"/>
    </row>
    <row r="27" spans="1:11" x14ac:dyDescent="0.2">
      <c r="A27" s="259" t="s">
        <v>346</v>
      </c>
      <c r="B27" s="260" t="s">
        <v>157</v>
      </c>
      <c r="C27" s="261" t="s">
        <v>158</v>
      </c>
      <c r="E27" s="262" t="s">
        <v>347</v>
      </c>
      <c r="F27" s="365" t="s">
        <v>159</v>
      </c>
      <c r="G27" s="366"/>
      <c r="H27" s="365" t="s">
        <v>160</v>
      </c>
      <c r="I27" s="366"/>
    </row>
    <row r="28" spans="1:11" x14ac:dyDescent="0.2">
      <c r="A28" s="137" t="s">
        <v>369</v>
      </c>
      <c r="B28" s="251">
        <v>4</v>
      </c>
      <c r="C28" s="252">
        <f>B28*52</f>
        <v>208</v>
      </c>
      <c r="E28" s="106" t="s">
        <v>154</v>
      </c>
      <c r="F28" s="107" t="s">
        <v>161</v>
      </c>
      <c r="G28" s="108">
        <v>7</v>
      </c>
      <c r="H28" s="109" t="s">
        <v>162</v>
      </c>
      <c r="I28" s="108">
        <v>7</v>
      </c>
    </row>
    <row r="29" spans="1:11" ht="17" thickBot="1" x14ac:dyDescent="0.25">
      <c r="A29" s="255" t="s">
        <v>370</v>
      </c>
      <c r="B29" s="256">
        <v>3</v>
      </c>
      <c r="C29" s="257">
        <f>B29*52+1</f>
        <v>157</v>
      </c>
      <c r="E29" s="110" t="s">
        <v>163</v>
      </c>
      <c r="F29" s="111" t="s">
        <v>164</v>
      </c>
      <c r="G29" s="112">
        <v>8</v>
      </c>
      <c r="H29" s="113" t="s">
        <v>165</v>
      </c>
      <c r="I29" s="112">
        <v>9</v>
      </c>
    </row>
    <row r="30" spans="1:11" ht="17" thickTop="1" x14ac:dyDescent="0.2">
      <c r="A30" s="142"/>
      <c r="B30" s="253"/>
      <c r="C30" s="254">
        <f>SUM(C28:C29)</f>
        <v>365</v>
      </c>
      <c r="F30" s="32"/>
    </row>
    <row r="31" spans="1:11" x14ac:dyDescent="0.2">
      <c r="E31" s="2"/>
      <c r="F31" s="2"/>
    </row>
    <row r="32" spans="1:11" x14ac:dyDescent="0.2">
      <c r="A32" s="258" t="s">
        <v>348</v>
      </c>
      <c r="B32" s="263" t="s">
        <v>168</v>
      </c>
      <c r="C32" s="263" t="s">
        <v>169</v>
      </c>
      <c r="D32" s="263" t="s">
        <v>167</v>
      </c>
      <c r="E32" s="263" t="s">
        <v>170</v>
      </c>
      <c r="F32" s="264" t="s">
        <v>171</v>
      </c>
    </row>
    <row r="33" spans="1:11" x14ac:dyDescent="0.2">
      <c r="A33" s="114" t="s">
        <v>172</v>
      </c>
      <c r="B33" s="115">
        <f>D33/C28</f>
        <v>72.814441912756848</v>
      </c>
      <c r="C33" s="116">
        <f t="shared" ref="C33:C39" si="7">B33/$B$68</f>
        <v>2.9125776765102738</v>
      </c>
      <c r="D33" s="115">
        <f>H77</f>
        <v>15145.403917853426</v>
      </c>
      <c r="E33" s="115">
        <f>H68</f>
        <v>1135905.2938390069</v>
      </c>
      <c r="F33" s="117">
        <f t="shared" ref="F33:F39" si="8">E33/D33</f>
        <v>75</v>
      </c>
    </row>
    <row r="34" spans="1:11" x14ac:dyDescent="0.2">
      <c r="A34" s="118" t="s">
        <v>173</v>
      </c>
      <c r="B34" s="119">
        <f>D34/C28</f>
        <v>145.6288838255137</v>
      </c>
      <c r="C34" s="120">
        <f t="shared" si="7"/>
        <v>5.8251553530205475</v>
      </c>
      <c r="D34" s="119">
        <f>H99</f>
        <v>30290.807835706852</v>
      </c>
      <c r="E34" s="119">
        <f>H90</f>
        <v>3029080.783570685</v>
      </c>
      <c r="F34" s="121">
        <f t="shared" si="8"/>
        <v>100</v>
      </c>
    </row>
    <row r="35" spans="1:11" x14ac:dyDescent="0.2">
      <c r="A35" s="124" t="s">
        <v>175</v>
      </c>
      <c r="B35" s="125">
        <f>D35/C28</f>
        <v>218.44332573827054</v>
      </c>
      <c r="C35" s="126">
        <f t="shared" si="7"/>
        <v>8.7377330295308226</v>
      </c>
      <c r="D35" s="125">
        <f>SUM(D33:D34)</f>
        <v>45436.211753560274</v>
      </c>
      <c r="E35" s="125">
        <f>SUM(E33:E34)</f>
        <v>4164986.0774096921</v>
      </c>
      <c r="F35" s="127">
        <f t="shared" si="8"/>
        <v>91.666666666666671</v>
      </c>
    </row>
    <row r="36" spans="1:11" x14ac:dyDescent="0.2">
      <c r="A36" s="118" t="s">
        <v>177</v>
      </c>
      <c r="B36" s="119">
        <f>D36/C29</f>
        <v>166.43301008630135</v>
      </c>
      <c r="C36" s="120">
        <f t="shared" si="7"/>
        <v>6.6573204034520543</v>
      </c>
      <c r="D36" s="119">
        <f>H123</f>
        <v>26129.982583549314</v>
      </c>
      <c r="E36" s="119">
        <f>H114</f>
        <v>2612998.2583549311</v>
      </c>
      <c r="F36" s="121">
        <f t="shared" si="8"/>
        <v>99.999999999999986</v>
      </c>
    </row>
    <row r="37" spans="1:11" x14ac:dyDescent="0.2">
      <c r="A37" s="118" t="s">
        <v>179</v>
      </c>
      <c r="B37" s="119">
        <f>D37/C29</f>
        <v>436.88665147654103</v>
      </c>
      <c r="C37" s="120">
        <f t="shared" si="7"/>
        <v>17.475466059061642</v>
      </c>
      <c r="D37" s="119">
        <f>H145</f>
        <v>68591.204281816943</v>
      </c>
      <c r="E37" s="119">
        <f>H136</f>
        <v>8573900.5352271181</v>
      </c>
      <c r="F37" s="121">
        <f t="shared" si="8"/>
        <v>125</v>
      </c>
    </row>
    <row r="38" spans="1:11" x14ac:dyDescent="0.2">
      <c r="A38" s="124" t="s">
        <v>181</v>
      </c>
      <c r="B38" s="125">
        <f>D38/C29</f>
        <v>603.31966156284238</v>
      </c>
      <c r="C38" s="126">
        <f t="shared" si="7"/>
        <v>24.132786462513696</v>
      </c>
      <c r="D38" s="125">
        <f>SUM(D36:D37)</f>
        <v>94721.186865366253</v>
      </c>
      <c r="E38" s="125">
        <f>SUM(E36:E37)</f>
        <v>11186898.793582048</v>
      </c>
      <c r="F38" s="127">
        <f t="shared" si="8"/>
        <v>118.10344827586206</v>
      </c>
    </row>
    <row r="39" spans="1:11" x14ac:dyDescent="0.2">
      <c r="A39" s="282" t="s">
        <v>182</v>
      </c>
      <c r="B39" s="273">
        <f>D39/C30</f>
        <v>383.99287292856582</v>
      </c>
      <c r="C39" s="283">
        <f t="shared" si="7"/>
        <v>15.359714917142632</v>
      </c>
      <c r="D39" s="273">
        <f>D35+D38</f>
        <v>140157.39861892653</v>
      </c>
      <c r="E39" s="273">
        <f>E35+E38</f>
        <v>15351884.87099174</v>
      </c>
      <c r="F39" s="274">
        <f t="shared" si="8"/>
        <v>109.53317500371085</v>
      </c>
    </row>
    <row r="40" spans="1:11" x14ac:dyDescent="0.2">
      <c r="A40" s="32" t="s">
        <v>166</v>
      </c>
      <c r="C40" s="70"/>
      <c r="E40" s="32"/>
      <c r="F40" s="32"/>
      <c r="G40" s="32"/>
      <c r="H40" s="32"/>
      <c r="I40" s="91"/>
      <c r="K40" t="s">
        <v>94</v>
      </c>
    </row>
    <row r="41" spans="1:11" x14ac:dyDescent="0.2">
      <c r="C41" s="70"/>
      <c r="E41" s="32"/>
      <c r="F41" s="32"/>
      <c r="G41" s="32"/>
      <c r="H41" s="32"/>
      <c r="I41" s="91"/>
    </row>
    <row r="42" spans="1:11" x14ac:dyDescent="0.2">
      <c r="A42" s="266" t="s">
        <v>183</v>
      </c>
      <c r="B42" s="262" t="str">
        <f>B24</f>
        <v>AED</v>
      </c>
      <c r="C42" s="261" t="str">
        <f>C24</f>
        <v>USD</v>
      </c>
      <c r="D42" s="260" t="s">
        <v>184</v>
      </c>
      <c r="E42" s="262" t="s">
        <v>185</v>
      </c>
      <c r="F42" s="260" t="s">
        <v>186</v>
      </c>
      <c r="G42" s="260" t="s">
        <v>187</v>
      </c>
      <c r="H42" s="261" t="s">
        <v>188</v>
      </c>
      <c r="I42" s="261" t="s">
        <v>189</v>
      </c>
      <c r="K42" s="348" t="s">
        <v>422</v>
      </c>
    </row>
    <row r="43" spans="1:11" x14ac:dyDescent="0.2">
      <c r="A43" s="105" t="s">
        <v>172</v>
      </c>
      <c r="B43" s="132">
        <f>B25*(1+B49+B51)</f>
        <v>150</v>
      </c>
      <c r="C43" s="133">
        <f>B43/'Financial Summary'!$E$3</f>
        <v>40.871934604904631</v>
      </c>
      <c r="D43" s="267">
        <f>G28*C28</f>
        <v>1456</v>
      </c>
      <c r="E43" s="134">
        <f>5%*(1+K43)</f>
        <v>6.9347087535958904E-2</v>
      </c>
      <c r="F43" s="135">
        <f>15%*(1+K43)</f>
        <v>0.20804126260787673</v>
      </c>
      <c r="G43" s="135">
        <f>5%*(1+K43)</f>
        <v>6.9347087535958904E-2</v>
      </c>
      <c r="H43" s="123">
        <f>5%*(1+K43)</f>
        <v>6.9347087535958904E-2</v>
      </c>
      <c r="I43" s="136">
        <f>G68</f>
        <v>0.20804126260787673</v>
      </c>
      <c r="K43" s="347">
        <v>0.38694175071917808</v>
      </c>
    </row>
    <row r="44" spans="1:11" x14ac:dyDescent="0.2">
      <c r="A44" s="137" t="s">
        <v>173</v>
      </c>
      <c r="B44" s="138">
        <f>B25*(1+B49+B52)</f>
        <v>200</v>
      </c>
      <c r="C44" s="139">
        <f>B44/'Financial Summary'!$E$3</f>
        <v>54.495912806539508</v>
      </c>
      <c r="D44" s="91">
        <f>I28*C28</f>
        <v>1456</v>
      </c>
      <c r="E44" s="140">
        <f>20%*(1+K43)</f>
        <v>0.27738835014383562</v>
      </c>
      <c r="F44" s="37">
        <f>30%*(1+K43)</f>
        <v>0.41608252521575345</v>
      </c>
      <c r="G44" s="37">
        <f>20%*(1+K43)</f>
        <v>0.27738835014383562</v>
      </c>
      <c r="H44" s="129">
        <f>15%*(1+K43)</f>
        <v>0.20804126260787673</v>
      </c>
      <c r="I44" s="141">
        <f>G90</f>
        <v>0.41608252521575345</v>
      </c>
      <c r="K44" s="270">
        <f>'Financial Summary'!B11</f>
        <v>140157.39861892653</v>
      </c>
    </row>
    <row r="45" spans="1:11" x14ac:dyDescent="0.2">
      <c r="A45" s="137" t="s">
        <v>177</v>
      </c>
      <c r="B45" s="138">
        <f>B25*(1+B50+B51)</f>
        <v>199.99999999999997</v>
      </c>
      <c r="C45" s="139">
        <f>B45/'Financial Summary'!$E$3</f>
        <v>54.495912806539501</v>
      </c>
      <c r="D45" s="91">
        <f>G29*C29</f>
        <v>1256</v>
      </c>
      <c r="E45" s="140">
        <f>30%*(1+K43)</f>
        <v>0.41608252521575345</v>
      </c>
      <c r="F45" s="37">
        <f>30%*(1+K43)</f>
        <v>0.41608252521575345</v>
      </c>
      <c r="G45" s="37">
        <f>20%*(1+K43)</f>
        <v>0.27738835014383562</v>
      </c>
      <c r="H45" s="129">
        <f>15%*(1+K43)</f>
        <v>0.20804126260787673</v>
      </c>
      <c r="I45" s="141">
        <f>G114</f>
        <v>0.41608252521575345</v>
      </c>
    </row>
    <row r="46" spans="1:11" x14ac:dyDescent="0.2">
      <c r="A46" s="142" t="s">
        <v>179</v>
      </c>
      <c r="B46" s="143">
        <f>B25*(1+B50+B52)</f>
        <v>250</v>
      </c>
      <c r="C46" s="144">
        <f>B46/'Financial Summary'!$E$3</f>
        <v>68.119891008174392</v>
      </c>
      <c r="D46" s="268">
        <f>I29*C29</f>
        <v>1413</v>
      </c>
      <c r="E46" s="145">
        <f>50%*(1+K43)</f>
        <v>0.69347087535958907</v>
      </c>
      <c r="F46" s="146">
        <f>70%*(1+K43)</f>
        <v>0.97085922550342463</v>
      </c>
      <c r="G46" s="146">
        <f>55%*(1+K43)</f>
        <v>0.76281796289554804</v>
      </c>
      <c r="H46" s="131">
        <f>35%*(1+K43)</f>
        <v>0.48542961275171231</v>
      </c>
      <c r="I46" s="147">
        <f>G136</f>
        <v>0.97085922550342452</v>
      </c>
    </row>
    <row r="47" spans="1:11" x14ac:dyDescent="0.2">
      <c r="C47" s="70"/>
      <c r="E47" s="148" t="s">
        <v>190</v>
      </c>
      <c r="F47" s="148"/>
      <c r="G47" s="148"/>
      <c r="H47" s="148"/>
      <c r="I47" s="95"/>
    </row>
    <row r="48" spans="1:11" x14ac:dyDescent="0.2">
      <c r="A48" s="258" t="s">
        <v>359</v>
      </c>
      <c r="B48" s="269"/>
      <c r="C48" s="70"/>
      <c r="D48" s="266" t="s">
        <v>349</v>
      </c>
      <c r="E48" s="262" t="s">
        <v>185</v>
      </c>
      <c r="F48" s="277" t="s">
        <v>186</v>
      </c>
      <c r="G48" s="277" t="s">
        <v>187</v>
      </c>
      <c r="H48" s="278" t="s">
        <v>188</v>
      </c>
      <c r="I48" s="261" t="s">
        <v>360</v>
      </c>
    </row>
    <row r="49" spans="1:11" x14ac:dyDescent="0.2">
      <c r="A49" s="122" t="s">
        <v>174</v>
      </c>
      <c r="B49" s="123">
        <v>-0.1</v>
      </c>
      <c r="D49" s="272" t="s">
        <v>172</v>
      </c>
      <c r="E49" s="149">
        <f>D64/$B$60</f>
        <v>120</v>
      </c>
      <c r="F49" s="119">
        <f>D65/$B$60</f>
        <v>150</v>
      </c>
      <c r="G49" s="119">
        <f>D66/$B$60</f>
        <v>600</v>
      </c>
      <c r="H49" s="121">
        <f>D67/$B$60</f>
        <v>1800</v>
      </c>
      <c r="I49" s="310">
        <f>H68/E77</f>
        <v>150</v>
      </c>
      <c r="K49" s="36">
        <f>H20</f>
        <v>140157.39861892653</v>
      </c>
    </row>
    <row r="50" spans="1:11" x14ac:dyDescent="0.2">
      <c r="A50" s="128" t="s">
        <v>176</v>
      </c>
      <c r="B50" s="129">
        <v>0.15</v>
      </c>
      <c r="D50" s="272" t="s">
        <v>173</v>
      </c>
      <c r="E50" s="149">
        <f>D86/$B$82</f>
        <v>160</v>
      </c>
      <c r="F50" s="119">
        <f t="shared" ref="F50" si="9">D87/$B$82</f>
        <v>200</v>
      </c>
      <c r="G50" s="119">
        <f>D88/$B$82</f>
        <v>800</v>
      </c>
      <c r="H50" s="121">
        <f>D89/$B$82</f>
        <v>2400</v>
      </c>
      <c r="I50" s="310">
        <f>H90/E99</f>
        <v>200</v>
      </c>
    </row>
    <row r="51" spans="1:11" x14ac:dyDescent="0.2">
      <c r="A51" s="128" t="s">
        <v>178</v>
      </c>
      <c r="B51" s="129">
        <v>-0.15</v>
      </c>
      <c r="D51" s="272" t="s">
        <v>177</v>
      </c>
      <c r="E51" s="149">
        <f>D110/$B$106</f>
        <v>160</v>
      </c>
      <c r="F51" s="119">
        <f>D111/$B$106</f>
        <v>199.99999999999997</v>
      </c>
      <c r="G51" s="119">
        <f t="shared" ref="G51" si="10">D112/$B$106</f>
        <v>799.99999999999989</v>
      </c>
      <c r="H51" s="121">
        <f>D113/$B$106</f>
        <v>2399.9999999999995</v>
      </c>
      <c r="I51" s="310">
        <f>H114/E123</f>
        <v>199.99999999999997</v>
      </c>
      <c r="J51" s="281"/>
    </row>
    <row r="52" spans="1:11" x14ac:dyDescent="0.2">
      <c r="A52" s="130" t="s">
        <v>180</v>
      </c>
      <c r="B52" s="131">
        <v>0.1</v>
      </c>
      <c r="D52" s="272" t="s">
        <v>179</v>
      </c>
      <c r="E52" s="149">
        <f>D132/$B$128</f>
        <v>200</v>
      </c>
      <c r="F52" s="119">
        <f>D133/$B$128</f>
        <v>250</v>
      </c>
      <c r="G52" s="119">
        <f>D134/$B$128</f>
        <v>1000</v>
      </c>
      <c r="H52" s="121">
        <f t="shared" ref="H52" si="11">D135/$B$128</f>
        <v>3000</v>
      </c>
      <c r="I52" s="310">
        <f>H136/E145</f>
        <v>250</v>
      </c>
    </row>
    <row r="53" spans="1:11" x14ac:dyDescent="0.2">
      <c r="C53" s="70"/>
      <c r="D53" s="276" t="s">
        <v>350</v>
      </c>
      <c r="E53" s="275" t="e">
        <f>D7/(($G$28+$I$28)*$C$28/$C$30+($G$29+$I$29)*$C$29/$C$30)</f>
        <v>#DIV/0!</v>
      </c>
      <c r="F53" s="273">
        <f>D8/(($G$28+$I$28)*$C$28/$C$30+($G$29+$I$29)*$C$29/$C$30)</f>
        <v>199.61476437914351</v>
      </c>
      <c r="G53" s="273" t="e">
        <f>D9/(($G$28+$I$28)*$C$28/$C$30+($G$29+$I$29)*$C$29/$C$30)</f>
        <v>#DIV/0!</v>
      </c>
      <c r="H53" s="274" t="e">
        <f>D10/(($G$28+$I$28)*$C$28/$C$30+($G$29+$I$29)*$C$29/$C$30)</f>
        <v>#DIV/0!</v>
      </c>
      <c r="I53" s="274"/>
    </row>
    <row r="54" spans="1:11" x14ac:dyDescent="0.2">
      <c r="I54" s="3"/>
    </row>
    <row r="55" spans="1:11" x14ac:dyDescent="0.2">
      <c r="A55" s="150" t="s">
        <v>191</v>
      </c>
      <c r="B55" s="151" t="s">
        <v>192</v>
      </c>
      <c r="C55" s="152">
        <f>C28</f>
        <v>208</v>
      </c>
      <c r="D55" s="151" t="s">
        <v>193</v>
      </c>
      <c r="E55" s="153">
        <f>SUM(D43:D44)</f>
        <v>2912</v>
      </c>
      <c r="F55" s="154">
        <f>E55/C55</f>
        <v>14</v>
      </c>
      <c r="G55" s="155">
        <f>G28</f>
        <v>7</v>
      </c>
      <c r="H55" s="156">
        <f>I28</f>
        <v>7</v>
      </c>
      <c r="I55" s="157"/>
    </row>
    <row r="56" spans="1:11" x14ac:dyDescent="0.2">
      <c r="I56" s="3"/>
    </row>
    <row r="57" spans="1:11" x14ac:dyDescent="0.2">
      <c r="A57" s="2" t="s">
        <v>194</v>
      </c>
      <c r="B57" s="95" t="s">
        <v>192</v>
      </c>
      <c r="C57" s="158">
        <f>C55</f>
        <v>208</v>
      </c>
      <c r="D57" s="95" t="s">
        <v>195</v>
      </c>
      <c r="E57" s="159">
        <f>D43</f>
        <v>1456</v>
      </c>
      <c r="F57" s="160">
        <f>E57/C57</f>
        <v>7</v>
      </c>
      <c r="G57" s="250">
        <f>H77</f>
        <v>15145.403917853426</v>
      </c>
      <c r="H57" s="161" t="s">
        <v>345</v>
      </c>
      <c r="I57" s="3"/>
    </row>
    <row r="58" spans="1:11" x14ac:dyDescent="0.2">
      <c r="E58" t="s">
        <v>94</v>
      </c>
      <c r="G58" s="270">
        <f>G57/C28</f>
        <v>72.814441912756848</v>
      </c>
      <c r="H58" t="s">
        <v>352</v>
      </c>
    </row>
    <row r="59" spans="1:11" x14ac:dyDescent="0.2">
      <c r="G59" s="270">
        <f>G58/F57</f>
        <v>10.402063130393836</v>
      </c>
      <c r="H59" t="s">
        <v>354</v>
      </c>
    </row>
    <row r="60" spans="1:11" x14ac:dyDescent="0.2">
      <c r="A60" s="51" t="s">
        <v>111</v>
      </c>
      <c r="B60" s="162">
        <f>G28</f>
        <v>7</v>
      </c>
      <c r="C60" s="70"/>
    </row>
    <row r="61" spans="1:11" ht="17" thickBot="1" x14ac:dyDescent="0.25"/>
    <row r="62" spans="1:11" x14ac:dyDescent="0.2">
      <c r="A62" s="163" t="s">
        <v>98</v>
      </c>
      <c r="B62" s="164" t="s">
        <v>99</v>
      </c>
      <c r="C62" s="164" t="s">
        <v>100</v>
      </c>
      <c r="D62" s="164" t="s">
        <v>101</v>
      </c>
      <c r="E62" s="360" t="s">
        <v>102</v>
      </c>
      <c r="F62" s="361"/>
      <c r="G62" s="164" t="s">
        <v>103</v>
      </c>
      <c r="H62" s="360" t="s">
        <v>104</v>
      </c>
      <c r="I62" s="362"/>
    </row>
    <row r="63" spans="1:11" x14ac:dyDescent="0.2">
      <c r="A63" s="56"/>
      <c r="B63" s="57"/>
      <c r="C63" s="57"/>
      <c r="D63" s="57"/>
      <c r="E63" s="57" t="str">
        <f>B24</f>
        <v>AED</v>
      </c>
      <c r="F63" s="57" t="str">
        <f>C42</f>
        <v>USD</v>
      </c>
      <c r="G63" s="57"/>
      <c r="H63" s="58" t="str">
        <f>B42</f>
        <v>AED</v>
      </c>
      <c r="I63" s="59" t="str">
        <f>C42</f>
        <v>USD</v>
      </c>
    </row>
    <row r="64" spans="1:11" x14ac:dyDescent="0.2">
      <c r="A64" s="48" t="s">
        <v>105</v>
      </c>
      <c r="B64" s="49">
        <f>B16</f>
        <v>0</v>
      </c>
      <c r="C64" s="60">
        <v>0.8</v>
      </c>
      <c r="D64" s="26">
        <f>C64*D65</f>
        <v>840</v>
      </c>
      <c r="E64" s="61">
        <f>B64*D64*$C$28</f>
        <v>0</v>
      </c>
      <c r="F64" s="61">
        <f>E64/'Financial Summary'!$E$3</f>
        <v>0</v>
      </c>
      <c r="G64" s="165">
        <f>E43</f>
        <v>6.9347087535958904E-2</v>
      </c>
      <c r="H64" s="50">
        <f>E64*G64</f>
        <v>0</v>
      </c>
      <c r="I64" s="62">
        <f>H64/'Financial Summary'!$E$3</f>
        <v>0</v>
      </c>
    </row>
    <row r="65" spans="1:11" x14ac:dyDescent="0.2">
      <c r="A65" s="48" t="s">
        <v>106</v>
      </c>
      <c r="B65" s="49">
        <f>B17</f>
        <v>25</v>
      </c>
      <c r="C65" s="63">
        <v>1</v>
      </c>
      <c r="D65" s="26">
        <f>B43*C65*B60</f>
        <v>1050</v>
      </c>
      <c r="E65" s="61">
        <f>B65*D65*$C$28</f>
        <v>5460000</v>
      </c>
      <c r="F65" s="61">
        <f>E65/'Financial Summary'!$E$3</f>
        <v>1487738.4196185286</v>
      </c>
      <c r="G65" s="165">
        <f>F43</f>
        <v>0.20804126260787673</v>
      </c>
      <c r="H65" s="50">
        <f>E65*G65</f>
        <v>1135905.2938390069</v>
      </c>
      <c r="I65" s="62">
        <f>H65/'Financial Summary'!$E$3</f>
        <v>309510.97924768581</v>
      </c>
    </row>
    <row r="66" spans="1:11" x14ac:dyDescent="0.2">
      <c r="A66" s="48" t="s">
        <v>107</v>
      </c>
      <c r="B66" s="49">
        <f>B18</f>
        <v>0</v>
      </c>
      <c r="C66" s="60">
        <v>4</v>
      </c>
      <c r="D66" s="26">
        <f>C66*D65</f>
        <v>4200</v>
      </c>
      <c r="E66" s="61">
        <f>B66*D66*$C$28</f>
        <v>0</v>
      </c>
      <c r="F66" s="61">
        <f>E66/'Financial Summary'!$E$3</f>
        <v>0</v>
      </c>
      <c r="G66" s="165">
        <f>G43</f>
        <v>6.9347087535958904E-2</v>
      </c>
      <c r="H66" s="50">
        <f>E66*G66</f>
        <v>0</v>
      </c>
      <c r="I66" s="62">
        <f>H66/'Financial Summary'!$E$3</f>
        <v>0</v>
      </c>
    </row>
    <row r="67" spans="1:11" x14ac:dyDescent="0.2">
      <c r="A67" s="48" t="s">
        <v>108</v>
      </c>
      <c r="B67" s="49">
        <f>B19</f>
        <v>0</v>
      </c>
      <c r="C67" s="60">
        <v>12</v>
      </c>
      <c r="D67" s="26">
        <f>D65*C67</f>
        <v>12600</v>
      </c>
      <c r="E67" s="61">
        <f>B67*D67*$C$28</f>
        <v>0</v>
      </c>
      <c r="F67" s="61">
        <f>E67/'Financial Summary'!$E$3</f>
        <v>0</v>
      </c>
      <c r="G67" s="165">
        <f>H43</f>
        <v>6.9347087535958904E-2</v>
      </c>
      <c r="H67" s="50">
        <f>E67*G67</f>
        <v>0</v>
      </c>
      <c r="I67" s="62">
        <f>H67/'Financial Summary'!$E$3</f>
        <v>0</v>
      </c>
    </row>
    <row r="68" spans="1:11" ht="17" thickBot="1" x14ac:dyDescent="0.25">
      <c r="A68" s="166" t="s">
        <v>62</v>
      </c>
      <c r="B68" s="167">
        <f>SUM(B64:B67)</f>
        <v>25</v>
      </c>
      <c r="C68" s="168"/>
      <c r="D68" s="169">
        <f>E68/B68/$C28</f>
        <v>1050</v>
      </c>
      <c r="E68" s="169">
        <f>SUM(E64:E67)</f>
        <v>5460000</v>
      </c>
      <c r="F68" s="169">
        <f>SUM(F64:F67)</f>
        <v>1487738.4196185286</v>
      </c>
      <c r="G68" s="170">
        <f>H68/E68</f>
        <v>0.20804126260787673</v>
      </c>
      <c r="H68" s="171">
        <f>SUM(H64:H67)</f>
        <v>1135905.2938390069</v>
      </c>
      <c r="I68" s="172">
        <f>SUM(I64:I67)</f>
        <v>309510.97924768581</v>
      </c>
    </row>
    <row r="69" spans="1:11" x14ac:dyDescent="0.2">
      <c r="A69" s="32" t="s">
        <v>92</v>
      </c>
    </row>
    <row r="70" spans="1:11" ht="17" thickBot="1" x14ac:dyDescent="0.25">
      <c r="A70" s="32"/>
    </row>
    <row r="71" spans="1:11" x14ac:dyDescent="0.2">
      <c r="A71" s="163" t="s">
        <v>114</v>
      </c>
      <c r="B71" s="164" t="s">
        <v>99</v>
      </c>
      <c r="C71" s="363" t="s">
        <v>115</v>
      </c>
      <c r="D71" s="363"/>
      <c r="E71" s="362"/>
      <c r="F71" s="364" t="s">
        <v>116</v>
      </c>
      <c r="G71" s="363"/>
      <c r="H71" s="363"/>
      <c r="I71" s="362"/>
    </row>
    <row r="72" spans="1:11" x14ac:dyDescent="0.2">
      <c r="A72" s="56"/>
      <c r="B72" s="57"/>
      <c r="C72" s="245" t="s">
        <v>117</v>
      </c>
      <c r="D72" s="76" t="s">
        <v>118</v>
      </c>
      <c r="E72" s="77" t="s">
        <v>119</v>
      </c>
      <c r="F72" s="78" t="s">
        <v>120</v>
      </c>
      <c r="G72" s="57" t="s">
        <v>121</v>
      </c>
      <c r="H72" s="58" t="s">
        <v>122</v>
      </c>
      <c r="I72" s="59" t="s">
        <v>123</v>
      </c>
    </row>
    <row r="73" spans="1:11" x14ac:dyDescent="0.2">
      <c r="A73" s="48" t="s">
        <v>105</v>
      </c>
      <c r="B73" s="49">
        <f>B64</f>
        <v>0</v>
      </c>
      <c r="C73" s="246">
        <f>G64*$B$60</f>
        <v>0.48542961275171231</v>
      </c>
      <c r="D73" s="81">
        <f>C73*$C$28</f>
        <v>100.96935945235616</v>
      </c>
      <c r="E73" s="82">
        <f>D73*B73</f>
        <v>0</v>
      </c>
      <c r="F73" s="279">
        <v>4</v>
      </c>
      <c r="G73" s="280">
        <v>2</v>
      </c>
      <c r="H73" s="50">
        <f>E73/G73*F73</f>
        <v>0</v>
      </c>
      <c r="I73" s="62" t="e">
        <f>H73/B73</f>
        <v>#DIV/0!</v>
      </c>
    </row>
    <row r="74" spans="1:11" x14ac:dyDescent="0.2">
      <c r="A74" s="48" t="s">
        <v>106</v>
      </c>
      <c r="B74" s="49">
        <f t="shared" ref="B74:B76" si="12">B65</f>
        <v>25</v>
      </c>
      <c r="C74" s="246">
        <f>G65*$B$60</f>
        <v>1.4562888382551371</v>
      </c>
      <c r="D74" s="81">
        <f>C74*$C$28</f>
        <v>302.90807835706852</v>
      </c>
      <c r="E74" s="82">
        <f t="shared" ref="E74:E76" si="13">D74*B74</f>
        <v>7572.7019589267129</v>
      </c>
      <c r="F74" s="279">
        <v>4</v>
      </c>
      <c r="G74" s="280">
        <v>2</v>
      </c>
      <c r="H74" s="50">
        <f t="shared" ref="H74:H76" si="14">E74/G74*F74</f>
        <v>15145.403917853426</v>
      </c>
      <c r="I74" s="62">
        <f t="shared" ref="I74" si="15">H74/B74</f>
        <v>605.81615671413704</v>
      </c>
      <c r="K74" s="83"/>
    </row>
    <row r="75" spans="1:11" x14ac:dyDescent="0.2">
      <c r="A75" s="48" t="s">
        <v>107</v>
      </c>
      <c r="B75" s="49">
        <f t="shared" si="12"/>
        <v>0</v>
      </c>
      <c r="C75" s="246">
        <f>G66*$B$60</f>
        <v>0.48542961275171231</v>
      </c>
      <c r="D75" s="81">
        <f>C75*$C$28</f>
        <v>100.96935945235616</v>
      </c>
      <c r="E75" s="82">
        <f t="shared" si="13"/>
        <v>0</v>
      </c>
      <c r="F75" s="279">
        <v>8</v>
      </c>
      <c r="G75" s="280">
        <v>2.2999999999999998</v>
      </c>
      <c r="H75" s="50">
        <f t="shared" si="14"/>
        <v>0</v>
      </c>
      <c r="I75" s="62" t="e">
        <f>H75/B75</f>
        <v>#DIV/0!</v>
      </c>
    </row>
    <row r="76" spans="1:11" x14ac:dyDescent="0.2">
      <c r="A76" s="48" t="s">
        <v>108</v>
      </c>
      <c r="B76" s="49">
        <f t="shared" si="12"/>
        <v>0</v>
      </c>
      <c r="C76" s="246">
        <f>G67*$B$60</f>
        <v>0.48542961275171231</v>
      </c>
      <c r="D76" s="81">
        <f>C76*$C$28</f>
        <v>100.96935945235616</v>
      </c>
      <c r="E76" s="82">
        <f t="shared" si="13"/>
        <v>0</v>
      </c>
      <c r="F76" s="279">
        <v>12</v>
      </c>
      <c r="G76" s="280">
        <v>2.5</v>
      </c>
      <c r="H76" s="50">
        <f t="shared" si="14"/>
        <v>0</v>
      </c>
      <c r="I76" s="62" t="e">
        <f t="shared" ref="I76" si="16">H76/B76</f>
        <v>#DIV/0!</v>
      </c>
    </row>
    <row r="77" spans="1:11" ht="17" thickBot="1" x14ac:dyDescent="0.25">
      <c r="A77" s="166" t="s">
        <v>62</v>
      </c>
      <c r="B77" s="167">
        <f>SUM(B73:B76)</f>
        <v>25</v>
      </c>
      <c r="C77" s="247">
        <f>D77/C28</f>
        <v>1.4562888382551371</v>
      </c>
      <c r="D77" s="173">
        <f>E77/B77</f>
        <v>302.90807835706852</v>
      </c>
      <c r="E77" s="174">
        <f>SUM(E73:E76)</f>
        <v>7572.7019589267129</v>
      </c>
      <c r="F77" s="175"/>
      <c r="G77" s="175"/>
      <c r="H77" s="171">
        <f>SUM(H73:H76)</f>
        <v>15145.403917853426</v>
      </c>
      <c r="I77" s="172">
        <f>H77/B77</f>
        <v>605.81615671413704</v>
      </c>
    </row>
    <row r="78" spans="1:11" x14ac:dyDescent="0.2">
      <c r="H78" s="50"/>
    </row>
    <row r="79" spans="1:11" x14ac:dyDescent="0.2">
      <c r="A79" s="2" t="s">
        <v>196</v>
      </c>
      <c r="B79" s="95" t="s">
        <v>192</v>
      </c>
      <c r="C79" s="158">
        <f>C55</f>
        <v>208</v>
      </c>
      <c r="D79" s="95" t="s">
        <v>197</v>
      </c>
      <c r="E79" s="159">
        <f>D44</f>
        <v>1456</v>
      </c>
      <c r="F79" s="160">
        <f>E79/C79</f>
        <v>7</v>
      </c>
      <c r="G79" s="250">
        <f>H99</f>
        <v>30290.807835706852</v>
      </c>
      <c r="H79" s="161" t="s">
        <v>345</v>
      </c>
    </row>
    <row r="80" spans="1:11" x14ac:dyDescent="0.2">
      <c r="A80" s="2"/>
      <c r="B80" s="95"/>
      <c r="C80" s="158"/>
      <c r="D80" s="95"/>
      <c r="E80" s="159"/>
      <c r="F80" s="160"/>
      <c r="G80" s="270">
        <f>G79/C28</f>
        <v>145.6288838255137</v>
      </c>
      <c r="H80" t="s">
        <v>351</v>
      </c>
    </row>
    <row r="81" spans="1:11" x14ac:dyDescent="0.2">
      <c r="G81" s="270">
        <f>G80/F79</f>
        <v>20.804126260787672</v>
      </c>
      <c r="H81" t="s">
        <v>353</v>
      </c>
    </row>
    <row r="82" spans="1:11" x14ac:dyDescent="0.2">
      <c r="A82" s="51" t="s">
        <v>111</v>
      </c>
      <c r="B82" s="162">
        <f>I28</f>
        <v>7</v>
      </c>
      <c r="C82" s="70"/>
    </row>
    <row r="83" spans="1:11" ht="17" thickBot="1" x14ac:dyDescent="0.25"/>
    <row r="84" spans="1:11" x14ac:dyDescent="0.2">
      <c r="A84" s="163" t="s">
        <v>98</v>
      </c>
      <c r="B84" s="164" t="s">
        <v>99</v>
      </c>
      <c r="C84" s="164" t="s">
        <v>100</v>
      </c>
      <c r="D84" s="164" t="s">
        <v>101</v>
      </c>
      <c r="E84" s="360" t="s">
        <v>102</v>
      </c>
      <c r="F84" s="361"/>
      <c r="G84" s="164" t="s">
        <v>103</v>
      </c>
      <c r="H84" s="360" t="s">
        <v>104</v>
      </c>
      <c r="I84" s="362"/>
    </row>
    <row r="85" spans="1:11" x14ac:dyDescent="0.2">
      <c r="A85" s="56"/>
      <c r="B85" s="57"/>
      <c r="C85" s="57"/>
      <c r="D85" s="57"/>
      <c r="E85" s="57" t="str">
        <f>E63</f>
        <v>AED</v>
      </c>
      <c r="F85" s="57" t="str">
        <f>F63</f>
        <v>USD</v>
      </c>
      <c r="G85" s="57"/>
      <c r="H85" s="58" t="str">
        <f>H63</f>
        <v>AED</v>
      </c>
      <c r="I85" s="59" t="str">
        <f>I63</f>
        <v>USD</v>
      </c>
    </row>
    <row r="86" spans="1:11" x14ac:dyDescent="0.2">
      <c r="A86" s="48" t="s">
        <v>105</v>
      </c>
      <c r="B86" s="49">
        <f>B73</f>
        <v>0</v>
      </c>
      <c r="C86" s="60">
        <v>0.8</v>
      </c>
      <c r="D86" s="26">
        <f>C86*D87</f>
        <v>1120</v>
      </c>
      <c r="E86" s="61">
        <f>B86*D86*$C$28</f>
        <v>0</v>
      </c>
      <c r="F86" s="61">
        <f>E86/'Financial Summary'!$E$3</f>
        <v>0</v>
      </c>
      <c r="G86" s="165">
        <f>E44</f>
        <v>0.27738835014383562</v>
      </c>
      <c r="H86" s="50">
        <f>E86*G86</f>
        <v>0</v>
      </c>
      <c r="I86" s="62">
        <f>H86/'Financial Summary'!$E$3</f>
        <v>0</v>
      </c>
    </row>
    <row r="87" spans="1:11" x14ac:dyDescent="0.2">
      <c r="A87" s="48" t="s">
        <v>106</v>
      </c>
      <c r="B87" s="49">
        <f t="shared" ref="B87:B89" si="17">B74</f>
        <v>25</v>
      </c>
      <c r="C87" s="63">
        <v>1</v>
      </c>
      <c r="D87" s="26">
        <f>B44*C87*B82</f>
        <v>1400</v>
      </c>
      <c r="E87" s="61">
        <f>B87*D87*$C$28</f>
        <v>7280000</v>
      </c>
      <c r="F87" s="61">
        <f>E87/'Financial Summary'!$E$3</f>
        <v>1983651.2261580382</v>
      </c>
      <c r="G87" s="165">
        <f>F44</f>
        <v>0.41608252521575345</v>
      </c>
      <c r="H87" s="50">
        <f>E87*G87</f>
        <v>3029080.783570685</v>
      </c>
      <c r="I87" s="62">
        <f>H87/'Financial Summary'!$E$3</f>
        <v>825362.61132716213</v>
      </c>
    </row>
    <row r="88" spans="1:11" x14ac:dyDescent="0.2">
      <c r="A88" s="48" t="s">
        <v>107</v>
      </c>
      <c r="B88" s="49">
        <f t="shared" si="17"/>
        <v>0</v>
      </c>
      <c r="C88" s="60">
        <v>4</v>
      </c>
      <c r="D88" s="26">
        <f>C88*D87</f>
        <v>5600</v>
      </c>
      <c r="E88" s="61">
        <f>B88*D88*$C$28</f>
        <v>0</v>
      </c>
      <c r="F88" s="61">
        <f>E88/'Financial Summary'!$E$3</f>
        <v>0</v>
      </c>
      <c r="G88" s="165">
        <f>G44</f>
        <v>0.27738835014383562</v>
      </c>
      <c r="H88" s="50">
        <f>E88*G88</f>
        <v>0</v>
      </c>
      <c r="I88" s="62">
        <f>H88/'Financial Summary'!$E$3</f>
        <v>0</v>
      </c>
    </row>
    <row r="89" spans="1:11" x14ac:dyDescent="0.2">
      <c r="A89" s="48" t="s">
        <v>108</v>
      </c>
      <c r="B89" s="49">
        <f t="shared" si="17"/>
        <v>0</v>
      </c>
      <c r="C89" s="60">
        <v>12</v>
      </c>
      <c r="D89" s="26">
        <f>D87*C89</f>
        <v>16800</v>
      </c>
      <c r="E89" s="61">
        <f>B89*D89*$C$28</f>
        <v>0</v>
      </c>
      <c r="F89" s="61">
        <f>E89/'Financial Summary'!$E$3</f>
        <v>0</v>
      </c>
      <c r="G89" s="165">
        <f>H44</f>
        <v>0.20804126260787673</v>
      </c>
      <c r="H89" s="50">
        <f>E89*G89</f>
        <v>0</v>
      </c>
      <c r="I89" s="62">
        <f>H89/'Financial Summary'!$E$3</f>
        <v>0</v>
      </c>
    </row>
    <row r="90" spans="1:11" ht="17" thickBot="1" x14ac:dyDescent="0.25">
      <c r="A90" s="166" t="s">
        <v>62</v>
      </c>
      <c r="B90" s="167">
        <f>SUM(B86:B89)</f>
        <v>25</v>
      </c>
      <c r="C90" s="168"/>
      <c r="D90" s="169">
        <f>E90/B90/$C28</f>
        <v>1400</v>
      </c>
      <c r="E90" s="169">
        <f>SUM(E86:E89)</f>
        <v>7280000</v>
      </c>
      <c r="F90" s="169">
        <f>SUM(F86:F89)</f>
        <v>1983651.2261580382</v>
      </c>
      <c r="G90" s="170">
        <f>H90/E90</f>
        <v>0.41608252521575345</v>
      </c>
      <c r="H90" s="171">
        <f>SUM(H86:H89)</f>
        <v>3029080.783570685</v>
      </c>
      <c r="I90" s="172">
        <f>SUM(I86:I89)</f>
        <v>825362.61132716213</v>
      </c>
    </row>
    <row r="91" spans="1:11" x14ac:dyDescent="0.2">
      <c r="A91" s="32" t="s">
        <v>92</v>
      </c>
      <c r="H91" s="50"/>
    </row>
    <row r="92" spans="1:11" ht="17" thickBot="1" x14ac:dyDescent="0.25">
      <c r="A92" s="32"/>
    </row>
    <row r="93" spans="1:11" x14ac:dyDescent="0.2">
      <c r="A93" s="163" t="s">
        <v>114</v>
      </c>
      <c r="B93" s="164" t="s">
        <v>99</v>
      </c>
      <c r="C93" s="363" t="s">
        <v>115</v>
      </c>
      <c r="D93" s="363"/>
      <c r="E93" s="362"/>
      <c r="F93" s="364" t="s">
        <v>116</v>
      </c>
      <c r="G93" s="363"/>
      <c r="H93" s="363"/>
      <c r="I93" s="362"/>
    </row>
    <row r="94" spans="1:11" x14ac:dyDescent="0.2">
      <c r="A94" s="56"/>
      <c r="B94" s="57"/>
      <c r="C94" s="245" t="s">
        <v>117</v>
      </c>
      <c r="D94" s="76" t="s">
        <v>118</v>
      </c>
      <c r="E94" s="77" t="s">
        <v>119</v>
      </c>
      <c r="F94" s="78" t="s">
        <v>120</v>
      </c>
      <c r="G94" s="57" t="s">
        <v>121</v>
      </c>
      <c r="H94" s="58" t="s">
        <v>122</v>
      </c>
      <c r="I94" s="59" t="s">
        <v>123</v>
      </c>
    </row>
    <row r="95" spans="1:11" x14ac:dyDescent="0.2">
      <c r="A95" s="48" t="s">
        <v>105</v>
      </c>
      <c r="B95" s="49">
        <f>B86</f>
        <v>0</v>
      </c>
      <c r="C95" s="246">
        <f>G86*$B$82</f>
        <v>1.9417184510068493</v>
      </c>
      <c r="D95" s="81">
        <f>C95*$C$28</f>
        <v>403.87743780942463</v>
      </c>
      <c r="E95" s="82">
        <f>D95*B95</f>
        <v>0</v>
      </c>
      <c r="F95" s="279">
        <v>4</v>
      </c>
      <c r="G95" s="280">
        <v>2</v>
      </c>
      <c r="H95" s="50">
        <f>E95/G95*F95</f>
        <v>0</v>
      </c>
      <c r="I95" s="62" t="e">
        <f>H95/B95</f>
        <v>#DIV/0!</v>
      </c>
    </row>
    <row r="96" spans="1:11" x14ac:dyDescent="0.2">
      <c r="A96" s="48" t="s">
        <v>106</v>
      </c>
      <c r="B96" s="49">
        <f t="shared" ref="B96:B98" si="18">B87</f>
        <v>25</v>
      </c>
      <c r="C96" s="246">
        <f t="shared" ref="C96:C98" si="19">G87*$B$82</f>
        <v>2.9125776765102742</v>
      </c>
      <c r="D96" s="81">
        <f>C96*$C$28</f>
        <v>605.81615671413704</v>
      </c>
      <c r="E96" s="82">
        <f t="shared" ref="E96:E98" si="20">D96*B96</f>
        <v>15145.403917853426</v>
      </c>
      <c r="F96" s="279">
        <v>4</v>
      </c>
      <c r="G96" s="280">
        <v>2</v>
      </c>
      <c r="H96" s="50">
        <f t="shared" ref="H96:H98" si="21">E96/G96*F96</f>
        <v>30290.807835706852</v>
      </c>
      <c r="I96" s="62">
        <f t="shared" ref="I96" si="22">H96/B96</f>
        <v>1211.6323134282741</v>
      </c>
      <c r="K96" s="83"/>
    </row>
    <row r="97" spans="1:9" x14ac:dyDescent="0.2">
      <c r="A97" s="48" t="s">
        <v>107</v>
      </c>
      <c r="B97" s="49">
        <f t="shared" si="18"/>
        <v>0</v>
      </c>
      <c r="C97" s="246">
        <f t="shared" si="19"/>
        <v>1.9417184510068493</v>
      </c>
      <c r="D97" s="81">
        <f>C97*$C$28</f>
        <v>403.87743780942463</v>
      </c>
      <c r="E97" s="82">
        <f t="shared" si="20"/>
        <v>0</v>
      </c>
      <c r="F97" s="279">
        <v>8</v>
      </c>
      <c r="G97" s="280">
        <v>2.2999999999999998</v>
      </c>
      <c r="H97" s="50">
        <f t="shared" si="21"/>
        <v>0</v>
      </c>
      <c r="I97" s="62" t="e">
        <f>H97/B97</f>
        <v>#DIV/0!</v>
      </c>
    </row>
    <row r="98" spans="1:9" x14ac:dyDescent="0.2">
      <c r="A98" s="48" t="s">
        <v>108</v>
      </c>
      <c r="B98" s="49">
        <f t="shared" si="18"/>
        <v>0</v>
      </c>
      <c r="C98" s="246">
        <f t="shared" si="19"/>
        <v>1.4562888382551371</v>
      </c>
      <c r="D98" s="81">
        <f>C98*$C$28</f>
        <v>302.90807835706852</v>
      </c>
      <c r="E98" s="82">
        <f t="shared" si="20"/>
        <v>0</v>
      </c>
      <c r="F98" s="279">
        <v>12</v>
      </c>
      <c r="G98" s="280">
        <v>2.5</v>
      </c>
      <c r="H98" s="50">
        <f t="shared" si="21"/>
        <v>0</v>
      </c>
      <c r="I98" s="62" t="e">
        <f t="shared" ref="I98" si="23">H98/B98</f>
        <v>#DIV/0!</v>
      </c>
    </row>
    <row r="99" spans="1:9" ht="17" thickBot="1" x14ac:dyDescent="0.25">
      <c r="A99" s="166" t="s">
        <v>62</v>
      </c>
      <c r="B99" s="167">
        <f>SUM(B95:B98)</f>
        <v>25</v>
      </c>
      <c r="C99" s="247">
        <f>D99/C28</f>
        <v>2.9125776765102742</v>
      </c>
      <c r="D99" s="173">
        <f>E99/B99</f>
        <v>605.81615671413704</v>
      </c>
      <c r="E99" s="174">
        <f>SUM(E95:E98)</f>
        <v>15145.403917853426</v>
      </c>
      <c r="F99" s="175"/>
      <c r="G99" s="175"/>
      <c r="H99" s="171">
        <f>SUM(H95:H98)</f>
        <v>30290.807835706852</v>
      </c>
      <c r="I99" s="172">
        <f>H99/B99</f>
        <v>1211.6323134282741</v>
      </c>
    </row>
    <row r="100" spans="1:9" x14ac:dyDescent="0.2">
      <c r="H100" s="50"/>
    </row>
    <row r="101" spans="1:9" x14ac:dyDescent="0.2">
      <c r="A101" s="176" t="s">
        <v>198</v>
      </c>
      <c r="B101" s="177" t="s">
        <v>192</v>
      </c>
      <c r="C101" s="178">
        <f>C29</f>
        <v>157</v>
      </c>
      <c r="D101" s="177" t="s">
        <v>193</v>
      </c>
      <c r="E101" s="179">
        <f>D45+D46</f>
        <v>2669</v>
      </c>
      <c r="F101" s="180">
        <f>E101/C101</f>
        <v>17</v>
      </c>
      <c r="G101" s="181">
        <f>G29</f>
        <v>8</v>
      </c>
      <c r="H101" s="182">
        <f>I29</f>
        <v>9</v>
      </c>
      <c r="I101" s="183"/>
    </row>
    <row r="102" spans="1:9" x14ac:dyDescent="0.2">
      <c r="I102" s="91"/>
    </row>
    <row r="103" spans="1:9" x14ac:dyDescent="0.2">
      <c r="A103" s="2" t="s">
        <v>199</v>
      </c>
      <c r="B103" s="95" t="s">
        <v>192</v>
      </c>
      <c r="C103" s="158">
        <f>C101</f>
        <v>157</v>
      </c>
      <c r="D103" s="95" t="s">
        <v>200</v>
      </c>
      <c r="E103" s="159">
        <f>D45</f>
        <v>1256</v>
      </c>
      <c r="F103" s="160">
        <f>E103/C103</f>
        <v>8</v>
      </c>
      <c r="G103" s="250">
        <f>H123</f>
        <v>26129.982583549314</v>
      </c>
      <c r="H103" s="161" t="s">
        <v>345</v>
      </c>
    </row>
    <row r="104" spans="1:9" x14ac:dyDescent="0.2">
      <c r="G104" s="270">
        <f>G103/C29</f>
        <v>166.43301008630135</v>
      </c>
      <c r="H104" t="s">
        <v>355</v>
      </c>
    </row>
    <row r="105" spans="1:9" x14ac:dyDescent="0.2">
      <c r="G105" s="270">
        <f>G104/F103</f>
        <v>20.804126260787669</v>
      </c>
      <c r="H105" t="s">
        <v>356</v>
      </c>
    </row>
    <row r="106" spans="1:9" x14ac:dyDescent="0.2">
      <c r="A106" s="51" t="s">
        <v>111</v>
      </c>
      <c r="B106" s="162">
        <f>G29</f>
        <v>8</v>
      </c>
      <c r="C106" s="70"/>
      <c r="D106" t="s">
        <v>94</v>
      </c>
    </row>
    <row r="107" spans="1:9" ht="17" thickBot="1" x14ac:dyDescent="0.25"/>
    <row r="108" spans="1:9" x14ac:dyDescent="0.2">
      <c r="A108" s="184" t="s">
        <v>98</v>
      </c>
      <c r="B108" s="185" t="s">
        <v>99</v>
      </c>
      <c r="C108" s="185" t="s">
        <v>100</v>
      </c>
      <c r="D108" s="185" t="s">
        <v>101</v>
      </c>
      <c r="E108" s="358" t="s">
        <v>102</v>
      </c>
      <c r="F108" s="359"/>
      <c r="G108" s="185" t="s">
        <v>103</v>
      </c>
      <c r="H108" s="358" t="s">
        <v>104</v>
      </c>
      <c r="I108" s="356"/>
    </row>
    <row r="109" spans="1:9" x14ac:dyDescent="0.2">
      <c r="A109" s="56"/>
      <c r="B109" s="57"/>
      <c r="C109" s="57"/>
      <c r="D109" s="57"/>
      <c r="E109" s="57" t="str">
        <f>E85</f>
        <v>AED</v>
      </c>
      <c r="F109" s="57" t="str">
        <f>F85</f>
        <v>USD</v>
      </c>
      <c r="G109" s="57"/>
      <c r="H109" s="58" t="str">
        <f>H85</f>
        <v>AED</v>
      </c>
      <c r="I109" s="59" t="str">
        <f>I85</f>
        <v>USD</v>
      </c>
    </row>
    <row r="110" spans="1:9" x14ac:dyDescent="0.2">
      <c r="A110" s="48" t="s">
        <v>105</v>
      </c>
      <c r="B110" s="49">
        <f>B86</f>
        <v>0</v>
      </c>
      <c r="C110" s="60">
        <v>0.8</v>
      </c>
      <c r="D110" s="26">
        <f>C110*D111</f>
        <v>1280</v>
      </c>
      <c r="E110" s="61">
        <f>B110*D110*$C$29</f>
        <v>0</v>
      </c>
      <c r="F110" s="61">
        <f>E110/'Financial Summary'!$E$3</f>
        <v>0</v>
      </c>
      <c r="G110" s="165">
        <f>E45</f>
        <v>0.41608252521575345</v>
      </c>
      <c r="H110" s="50">
        <f>E110*G110</f>
        <v>0</v>
      </c>
      <c r="I110" s="62">
        <f>H110/'Financial Summary'!$E$3</f>
        <v>0</v>
      </c>
    </row>
    <row r="111" spans="1:9" x14ac:dyDescent="0.2">
      <c r="A111" s="48" t="s">
        <v>106</v>
      </c>
      <c r="B111" s="49">
        <f t="shared" ref="B111:B113" si="24">B87</f>
        <v>25</v>
      </c>
      <c r="C111" s="63">
        <v>1</v>
      </c>
      <c r="D111" s="26">
        <f>B45*C111*B106</f>
        <v>1599.9999999999998</v>
      </c>
      <c r="E111" s="61">
        <f>B111*D111*$C$29</f>
        <v>6279999.9999999991</v>
      </c>
      <c r="F111" s="61">
        <f>E111/'Financial Summary'!$E$3</f>
        <v>1711171.6621253404</v>
      </c>
      <c r="G111" s="165">
        <f>F45</f>
        <v>0.41608252521575345</v>
      </c>
      <c r="H111" s="50">
        <f>E111*G111</f>
        <v>2612998.2583549311</v>
      </c>
      <c r="I111" s="62">
        <f>H111/'Financial Summary'!$E$3</f>
        <v>711988.6262547496</v>
      </c>
    </row>
    <row r="112" spans="1:9" x14ac:dyDescent="0.2">
      <c r="A112" s="48" t="s">
        <v>107</v>
      </c>
      <c r="B112" s="49">
        <f t="shared" si="24"/>
        <v>0</v>
      </c>
      <c r="C112" s="60">
        <v>4</v>
      </c>
      <c r="D112" s="26">
        <f>C112*D111</f>
        <v>6399.9999999999991</v>
      </c>
      <c r="E112" s="61">
        <f>B112*D112*$C$29</f>
        <v>0</v>
      </c>
      <c r="F112" s="61">
        <f>E112/'Financial Summary'!$E$3</f>
        <v>0</v>
      </c>
      <c r="G112" s="165">
        <f>G45</f>
        <v>0.27738835014383562</v>
      </c>
      <c r="H112" s="50">
        <f>E112*G112</f>
        <v>0</v>
      </c>
      <c r="I112" s="62">
        <f>H112/'Financial Summary'!$E$3</f>
        <v>0</v>
      </c>
    </row>
    <row r="113" spans="1:11" x14ac:dyDescent="0.2">
      <c r="A113" s="48" t="s">
        <v>108</v>
      </c>
      <c r="B113" s="49">
        <f t="shared" si="24"/>
        <v>0</v>
      </c>
      <c r="C113" s="60">
        <v>12</v>
      </c>
      <c r="D113" s="26">
        <f>D111*C113</f>
        <v>19199.999999999996</v>
      </c>
      <c r="E113" s="61">
        <f>B113*D113*$C$29</f>
        <v>0</v>
      </c>
      <c r="F113" s="61">
        <f>E113/'Financial Summary'!$E$3</f>
        <v>0</v>
      </c>
      <c r="G113" s="165">
        <f>H45</f>
        <v>0.20804126260787673</v>
      </c>
      <c r="H113" s="50">
        <f>E113*G113</f>
        <v>0</v>
      </c>
      <c r="I113" s="62">
        <f>H113/'Financial Summary'!$E$3</f>
        <v>0</v>
      </c>
    </row>
    <row r="114" spans="1:11" ht="17" thickBot="1" x14ac:dyDescent="0.25">
      <c r="A114" s="186" t="s">
        <v>62</v>
      </c>
      <c r="B114" s="187">
        <f>SUM(B110:B113)</f>
        <v>25</v>
      </c>
      <c r="C114" s="188"/>
      <c r="D114" s="189">
        <f>E114/B114/$C$29</f>
        <v>1599.9999999999998</v>
      </c>
      <c r="E114" s="189">
        <f>SUM(E110:E113)</f>
        <v>6279999.9999999991</v>
      </c>
      <c r="F114" s="189">
        <f>SUM(F110:F113)</f>
        <v>1711171.6621253404</v>
      </c>
      <c r="G114" s="190">
        <f>H114/E114</f>
        <v>0.41608252521575345</v>
      </c>
      <c r="H114" s="191">
        <f>SUM(H110:H113)</f>
        <v>2612998.2583549311</v>
      </c>
      <c r="I114" s="192">
        <f>SUM(I110:I113)</f>
        <v>711988.6262547496</v>
      </c>
    </row>
    <row r="115" spans="1:11" x14ac:dyDescent="0.2">
      <c r="A115" s="32" t="s">
        <v>92</v>
      </c>
    </row>
    <row r="116" spans="1:11" ht="17" thickBot="1" x14ac:dyDescent="0.25">
      <c r="A116" s="32"/>
    </row>
    <row r="117" spans="1:11" x14ac:dyDescent="0.2">
      <c r="A117" s="184" t="s">
        <v>114</v>
      </c>
      <c r="B117" s="185" t="s">
        <v>99</v>
      </c>
      <c r="C117" s="355" t="s">
        <v>115</v>
      </c>
      <c r="D117" s="355"/>
      <c r="E117" s="356"/>
      <c r="F117" s="357" t="s">
        <v>116</v>
      </c>
      <c r="G117" s="355"/>
      <c r="H117" s="355"/>
      <c r="I117" s="356"/>
    </row>
    <row r="118" spans="1:11" x14ac:dyDescent="0.2">
      <c r="A118" s="56"/>
      <c r="B118" s="57"/>
      <c r="C118" s="245" t="s">
        <v>117</v>
      </c>
      <c r="D118" s="76" t="s">
        <v>118</v>
      </c>
      <c r="E118" s="77" t="s">
        <v>119</v>
      </c>
      <c r="F118" s="78" t="s">
        <v>120</v>
      </c>
      <c r="G118" s="57" t="s">
        <v>121</v>
      </c>
      <c r="H118" s="58" t="s">
        <v>122</v>
      </c>
      <c r="I118" s="59" t="s">
        <v>123</v>
      </c>
    </row>
    <row r="119" spans="1:11" x14ac:dyDescent="0.2">
      <c r="A119" s="48" t="s">
        <v>105</v>
      </c>
      <c r="B119" s="49">
        <f>B110</f>
        <v>0</v>
      </c>
      <c r="C119" s="246">
        <f>G110*$B$106</f>
        <v>3.3286602017260276</v>
      </c>
      <c r="D119" s="81">
        <f>C119*$C$29</f>
        <v>522.5996516709863</v>
      </c>
      <c r="E119" s="82">
        <f>D119*B119</f>
        <v>0</v>
      </c>
      <c r="F119" s="279">
        <v>4</v>
      </c>
      <c r="G119" s="280">
        <v>2</v>
      </c>
      <c r="H119" s="50">
        <f>E119/G119*F119</f>
        <v>0</v>
      </c>
      <c r="I119" s="62" t="e">
        <f>H119/B119</f>
        <v>#DIV/0!</v>
      </c>
    </row>
    <row r="120" spans="1:11" x14ac:dyDescent="0.2">
      <c r="A120" s="48" t="s">
        <v>106</v>
      </c>
      <c r="B120" s="49">
        <f t="shared" ref="B120:B122" si="25">B111</f>
        <v>25</v>
      </c>
      <c r="C120" s="246">
        <f t="shared" ref="C120:C122" si="26">G111*$B$106</f>
        <v>3.3286602017260276</v>
      </c>
      <c r="D120" s="81">
        <f>C120*$C$29</f>
        <v>522.5996516709863</v>
      </c>
      <c r="E120" s="82">
        <f t="shared" ref="E120:E122" si="27">D120*B120</f>
        <v>13064.991291774657</v>
      </c>
      <c r="F120" s="279">
        <v>4</v>
      </c>
      <c r="G120" s="280">
        <v>2</v>
      </c>
      <c r="H120" s="50">
        <f t="shared" ref="H120:H122" si="28">E120/G120*F120</f>
        <v>26129.982583549314</v>
      </c>
      <c r="I120" s="62">
        <f t="shared" ref="I120" si="29">H120/B120</f>
        <v>1045.1993033419726</v>
      </c>
      <c r="K120" s="83"/>
    </row>
    <row r="121" spans="1:11" x14ac:dyDescent="0.2">
      <c r="A121" s="48" t="s">
        <v>107</v>
      </c>
      <c r="B121" s="49">
        <f t="shared" si="25"/>
        <v>0</v>
      </c>
      <c r="C121" s="246">
        <f t="shared" si="26"/>
        <v>2.2191068011506849</v>
      </c>
      <c r="D121" s="81">
        <f>C121*$C$29</f>
        <v>348.39976778065756</v>
      </c>
      <c r="E121" s="82">
        <f t="shared" si="27"/>
        <v>0</v>
      </c>
      <c r="F121" s="279">
        <v>8</v>
      </c>
      <c r="G121" s="280">
        <v>2.2999999999999998</v>
      </c>
      <c r="H121" s="50">
        <f t="shared" si="28"/>
        <v>0</v>
      </c>
      <c r="I121" s="62" t="e">
        <f>H121/B121</f>
        <v>#DIV/0!</v>
      </c>
    </row>
    <row r="122" spans="1:11" x14ac:dyDescent="0.2">
      <c r="A122" s="48" t="s">
        <v>108</v>
      </c>
      <c r="B122" s="49">
        <f t="shared" si="25"/>
        <v>0</v>
      </c>
      <c r="C122" s="246">
        <f t="shared" si="26"/>
        <v>1.6643301008630138</v>
      </c>
      <c r="D122" s="81">
        <f>C122*$C$29</f>
        <v>261.29982583549315</v>
      </c>
      <c r="E122" s="82">
        <f t="shared" si="27"/>
        <v>0</v>
      </c>
      <c r="F122" s="279">
        <v>12</v>
      </c>
      <c r="G122" s="280">
        <v>2.5</v>
      </c>
      <c r="H122" s="50">
        <f t="shared" si="28"/>
        <v>0</v>
      </c>
      <c r="I122" s="62" t="e">
        <f t="shared" ref="I122" si="30">H122/B122</f>
        <v>#DIV/0!</v>
      </c>
    </row>
    <row r="123" spans="1:11" ht="17" thickBot="1" x14ac:dyDescent="0.25">
      <c r="A123" s="186" t="s">
        <v>62</v>
      </c>
      <c r="B123" s="187">
        <f>SUM(B119:B122)</f>
        <v>25</v>
      </c>
      <c r="C123" s="249">
        <f>D123/C29</f>
        <v>3.3286602017260276</v>
      </c>
      <c r="D123" s="193">
        <f>E123/B123</f>
        <v>522.5996516709863</v>
      </c>
      <c r="E123" s="194">
        <f>SUM(E119:E122)</f>
        <v>13064.991291774657</v>
      </c>
      <c r="F123" s="195"/>
      <c r="G123" s="195"/>
      <c r="H123" s="191">
        <f>SUM(H119:H122)</f>
        <v>26129.982583549314</v>
      </c>
      <c r="I123" s="192">
        <f>H123/B123</f>
        <v>1045.1993033419726</v>
      </c>
    </row>
    <row r="124" spans="1:11" x14ac:dyDescent="0.2">
      <c r="H124" s="50">
        <f>H123/365</f>
        <v>71.588993379587166</v>
      </c>
    </row>
    <row r="125" spans="1:11" x14ac:dyDescent="0.2">
      <c r="A125" s="2" t="s">
        <v>201</v>
      </c>
      <c r="B125" s="95" t="s">
        <v>192</v>
      </c>
      <c r="C125" s="158">
        <f>C103</f>
        <v>157</v>
      </c>
      <c r="D125" s="95" t="s">
        <v>197</v>
      </c>
      <c r="E125" s="159">
        <f>D46</f>
        <v>1413</v>
      </c>
      <c r="F125" s="160">
        <f>E125/C125</f>
        <v>9</v>
      </c>
      <c r="G125" s="250">
        <f>H145</f>
        <v>68591.204281816943</v>
      </c>
      <c r="H125" s="161" t="s">
        <v>345</v>
      </c>
    </row>
    <row r="126" spans="1:11" x14ac:dyDescent="0.2">
      <c r="G126" s="270">
        <f>G125/C29</f>
        <v>436.88665147654103</v>
      </c>
      <c r="H126" t="s">
        <v>357</v>
      </c>
    </row>
    <row r="127" spans="1:11" x14ac:dyDescent="0.2">
      <c r="G127" s="270">
        <f>G126/F125</f>
        <v>48.542961275171223</v>
      </c>
      <c r="H127" t="s">
        <v>358</v>
      </c>
    </row>
    <row r="128" spans="1:11" x14ac:dyDescent="0.2">
      <c r="A128" s="51" t="s">
        <v>111</v>
      </c>
      <c r="B128" s="162">
        <f>I29</f>
        <v>9</v>
      </c>
      <c r="C128" s="70"/>
      <c r="G128" s="309"/>
    </row>
    <row r="129" spans="1:11" ht="17" thickBot="1" x14ac:dyDescent="0.25"/>
    <row r="130" spans="1:11" x14ac:dyDescent="0.2">
      <c r="A130" s="184" t="s">
        <v>98</v>
      </c>
      <c r="B130" s="185" t="s">
        <v>99</v>
      </c>
      <c r="C130" s="185" t="s">
        <v>100</v>
      </c>
      <c r="D130" s="185" t="s">
        <v>101</v>
      </c>
      <c r="E130" s="358" t="s">
        <v>102</v>
      </c>
      <c r="F130" s="359"/>
      <c r="G130" s="185" t="s">
        <v>103</v>
      </c>
      <c r="H130" s="358" t="s">
        <v>104</v>
      </c>
      <c r="I130" s="356"/>
    </row>
    <row r="131" spans="1:11" x14ac:dyDescent="0.2">
      <c r="A131" s="56"/>
      <c r="B131" s="57"/>
      <c r="C131" s="57"/>
      <c r="D131" s="57"/>
      <c r="E131" s="57" t="str">
        <f>E109</f>
        <v>AED</v>
      </c>
      <c r="F131" s="57" t="str">
        <f>F109</f>
        <v>USD</v>
      </c>
      <c r="G131" s="57"/>
      <c r="H131" s="58" t="str">
        <f>H109</f>
        <v>AED</v>
      </c>
      <c r="I131" s="59" t="str">
        <f>I109</f>
        <v>USD</v>
      </c>
    </row>
    <row r="132" spans="1:11" x14ac:dyDescent="0.2">
      <c r="A132" s="48" t="s">
        <v>105</v>
      </c>
      <c r="B132" s="49">
        <f>B119</f>
        <v>0</v>
      </c>
      <c r="C132" s="60">
        <v>0.8</v>
      </c>
      <c r="D132" s="26">
        <f>C132*D133</f>
        <v>1800</v>
      </c>
      <c r="E132" s="61">
        <f>B132*D132*$C$29</f>
        <v>0</v>
      </c>
      <c r="F132" s="61">
        <f>E132/'Financial Summary'!$E$3</f>
        <v>0</v>
      </c>
      <c r="G132" s="165">
        <f>E46</f>
        <v>0.69347087535958907</v>
      </c>
      <c r="H132" s="50">
        <f>E132*G132</f>
        <v>0</v>
      </c>
      <c r="I132" s="62">
        <f>H132/'Financial Summary'!$E$3</f>
        <v>0</v>
      </c>
    </row>
    <row r="133" spans="1:11" x14ac:dyDescent="0.2">
      <c r="A133" s="48" t="s">
        <v>106</v>
      </c>
      <c r="B133" s="49">
        <f t="shared" ref="B133:B135" si="31">B120</f>
        <v>25</v>
      </c>
      <c r="C133" s="63">
        <v>1</v>
      </c>
      <c r="D133" s="26">
        <f>B46*C133*B128</f>
        <v>2250</v>
      </c>
      <c r="E133" s="61">
        <f>B133*D133*$C$29</f>
        <v>8831250</v>
      </c>
      <c r="F133" s="61">
        <f>E133/'Financial Summary'!$E$3</f>
        <v>2406335.1498637605</v>
      </c>
      <c r="G133" s="165">
        <f>F46</f>
        <v>0.97085922550342463</v>
      </c>
      <c r="H133" s="50">
        <f>E133*G133</f>
        <v>8573900.5352271181</v>
      </c>
      <c r="I133" s="62">
        <f>H133/'Financial Summary'!$E$3</f>
        <v>2336212.6798983975</v>
      </c>
    </row>
    <row r="134" spans="1:11" x14ac:dyDescent="0.2">
      <c r="A134" s="48" t="s">
        <v>107</v>
      </c>
      <c r="B134" s="49">
        <f t="shared" si="31"/>
        <v>0</v>
      </c>
      <c r="C134" s="60">
        <v>4</v>
      </c>
      <c r="D134" s="26">
        <f>C134*D133</f>
        <v>9000</v>
      </c>
      <c r="E134" s="61">
        <f>B134*D134*$C$29</f>
        <v>0</v>
      </c>
      <c r="F134" s="61">
        <f>E134/'Financial Summary'!$E$3</f>
        <v>0</v>
      </c>
      <c r="G134" s="165">
        <f>G46</f>
        <v>0.76281796289554804</v>
      </c>
      <c r="H134" s="50">
        <f>E134*G134</f>
        <v>0</v>
      </c>
      <c r="I134" s="62">
        <f>H134/'Financial Summary'!$E$3</f>
        <v>0</v>
      </c>
    </row>
    <row r="135" spans="1:11" x14ac:dyDescent="0.2">
      <c r="A135" s="48" t="s">
        <v>108</v>
      </c>
      <c r="B135" s="49">
        <f t="shared" si="31"/>
        <v>0</v>
      </c>
      <c r="C135" s="60">
        <v>12</v>
      </c>
      <c r="D135" s="26">
        <f>D133*C135</f>
        <v>27000</v>
      </c>
      <c r="E135" s="61">
        <f>B135*D135*$C$29</f>
        <v>0</v>
      </c>
      <c r="F135" s="61">
        <f>E135/'Financial Summary'!$E$3</f>
        <v>0</v>
      </c>
      <c r="G135" s="165">
        <f>H46</f>
        <v>0.48542961275171231</v>
      </c>
      <c r="H135" s="50">
        <f>E135*G135</f>
        <v>0</v>
      </c>
      <c r="I135" s="62">
        <f>H135/'Financial Summary'!$E$3</f>
        <v>0</v>
      </c>
    </row>
    <row r="136" spans="1:11" ht="17" thickBot="1" x14ac:dyDescent="0.25">
      <c r="A136" s="186" t="s">
        <v>62</v>
      </c>
      <c r="B136" s="187">
        <f>SUM(B132:B135)</f>
        <v>25</v>
      </c>
      <c r="C136" s="188"/>
      <c r="D136" s="189">
        <f>E136/B136/$C$29</f>
        <v>2250</v>
      </c>
      <c r="E136" s="189">
        <f>SUM(E132:E135)</f>
        <v>8831250</v>
      </c>
      <c r="F136" s="189">
        <f>SUM(F132:F135)</f>
        <v>2406335.1498637605</v>
      </c>
      <c r="G136" s="190">
        <f>H136/E136</f>
        <v>0.97085922550342452</v>
      </c>
      <c r="H136" s="191">
        <f>SUM(H132:H135)</f>
        <v>8573900.5352271181</v>
      </c>
      <c r="I136" s="192">
        <f>SUM(I132:I135)</f>
        <v>2336212.6798983975</v>
      </c>
    </row>
    <row r="137" spans="1:11" x14ac:dyDescent="0.2">
      <c r="A137" s="32" t="s">
        <v>92</v>
      </c>
    </row>
    <row r="138" spans="1:11" ht="17" thickBot="1" x14ac:dyDescent="0.25">
      <c r="A138" s="32"/>
    </row>
    <row r="139" spans="1:11" x14ac:dyDescent="0.2">
      <c r="A139" s="184" t="s">
        <v>114</v>
      </c>
      <c r="B139" s="185" t="s">
        <v>99</v>
      </c>
      <c r="C139" s="355" t="s">
        <v>115</v>
      </c>
      <c r="D139" s="355"/>
      <c r="E139" s="356"/>
      <c r="F139" s="357" t="s">
        <v>116</v>
      </c>
      <c r="G139" s="355"/>
      <c r="H139" s="355"/>
      <c r="I139" s="356"/>
    </row>
    <row r="140" spans="1:11" x14ac:dyDescent="0.2">
      <c r="A140" s="56"/>
      <c r="B140" s="57"/>
      <c r="C140" s="245" t="s">
        <v>117</v>
      </c>
      <c r="D140" s="76" t="s">
        <v>118</v>
      </c>
      <c r="E140" s="77" t="s">
        <v>119</v>
      </c>
      <c r="F140" s="78" t="s">
        <v>120</v>
      </c>
      <c r="G140" s="57" t="s">
        <v>121</v>
      </c>
      <c r="H140" s="58" t="s">
        <v>122</v>
      </c>
      <c r="I140" s="59" t="s">
        <v>123</v>
      </c>
    </row>
    <row r="141" spans="1:11" x14ac:dyDescent="0.2">
      <c r="A141" s="48" t="s">
        <v>105</v>
      </c>
      <c r="B141" s="49">
        <f>B132</f>
        <v>0</v>
      </c>
      <c r="C141" s="246">
        <f>G132*$B$128</f>
        <v>6.2412378782363014</v>
      </c>
      <c r="D141" s="81">
        <f>C141*$C$29</f>
        <v>979.87434688309929</v>
      </c>
      <c r="E141" s="82">
        <f>D141*B141</f>
        <v>0</v>
      </c>
      <c r="F141" s="279">
        <v>4</v>
      </c>
      <c r="G141" s="280">
        <v>2</v>
      </c>
      <c r="H141" s="50">
        <f>E141/G141*F141</f>
        <v>0</v>
      </c>
      <c r="I141" s="62" t="e">
        <f>H141/B141</f>
        <v>#DIV/0!</v>
      </c>
    </row>
    <row r="142" spans="1:11" x14ac:dyDescent="0.2">
      <c r="A142" s="48" t="s">
        <v>106</v>
      </c>
      <c r="B142" s="49">
        <f t="shared" ref="B142:B144" si="32">B133</f>
        <v>25</v>
      </c>
      <c r="C142" s="246">
        <f t="shared" ref="C142:C144" si="33">G133*$B$128</f>
        <v>8.7377330295308209</v>
      </c>
      <c r="D142" s="81">
        <f>C142*$C$29</f>
        <v>1371.8240856363389</v>
      </c>
      <c r="E142" s="82">
        <f t="shared" ref="E142:E144" si="34">D142*B142</f>
        <v>34295.602140908471</v>
      </c>
      <c r="F142" s="279">
        <v>4</v>
      </c>
      <c r="G142" s="280">
        <v>2</v>
      </c>
      <c r="H142" s="50">
        <f>E142/G142*F142</f>
        <v>68591.204281816943</v>
      </c>
      <c r="I142" s="62">
        <f t="shared" ref="I142" si="35">H142/B142</f>
        <v>2743.6481712726777</v>
      </c>
      <c r="K142" s="83"/>
    </row>
    <row r="143" spans="1:11" x14ac:dyDescent="0.2">
      <c r="A143" s="48" t="s">
        <v>107</v>
      </c>
      <c r="B143" s="49">
        <f t="shared" si="32"/>
        <v>0</v>
      </c>
      <c r="C143" s="246">
        <f t="shared" si="33"/>
        <v>6.8653616660599326</v>
      </c>
      <c r="D143" s="81">
        <f>C143*$C$29</f>
        <v>1077.8617815714094</v>
      </c>
      <c r="E143" s="82">
        <f t="shared" si="34"/>
        <v>0</v>
      </c>
      <c r="F143" s="279">
        <v>8</v>
      </c>
      <c r="G143" s="280">
        <v>2.2999999999999998</v>
      </c>
      <c r="H143" s="50">
        <f t="shared" ref="H143:H144" si="36">E143/G143*F143</f>
        <v>0</v>
      </c>
      <c r="I143" s="62" t="e">
        <f>H143/B143</f>
        <v>#DIV/0!</v>
      </c>
    </row>
    <row r="144" spans="1:11" x14ac:dyDescent="0.2">
      <c r="A144" s="48" t="s">
        <v>108</v>
      </c>
      <c r="B144" s="49">
        <f t="shared" si="32"/>
        <v>0</v>
      </c>
      <c r="C144" s="246">
        <f t="shared" si="33"/>
        <v>4.3688665147654104</v>
      </c>
      <c r="D144" s="81">
        <f>C144*$C$29</f>
        <v>685.91204281816943</v>
      </c>
      <c r="E144" s="82">
        <f t="shared" si="34"/>
        <v>0</v>
      </c>
      <c r="F144" s="279">
        <v>12</v>
      </c>
      <c r="G144" s="280">
        <v>2.5</v>
      </c>
      <c r="H144" s="50">
        <f t="shared" si="36"/>
        <v>0</v>
      </c>
      <c r="I144" s="62" t="e">
        <f t="shared" ref="I144" si="37">H144/B144</f>
        <v>#DIV/0!</v>
      </c>
    </row>
    <row r="145" spans="1:9" ht="17" thickBot="1" x14ac:dyDescent="0.25">
      <c r="A145" s="186" t="s">
        <v>62</v>
      </c>
      <c r="B145" s="187">
        <f>SUM(B141:B144)</f>
        <v>25</v>
      </c>
      <c r="C145" s="249">
        <f>D145/C29</f>
        <v>8.7377330295308209</v>
      </c>
      <c r="D145" s="193">
        <f>E145/B145</f>
        <v>1371.8240856363389</v>
      </c>
      <c r="E145" s="194">
        <f>SUM(E141:E144)</f>
        <v>34295.602140908471</v>
      </c>
      <c r="F145" s="195"/>
      <c r="G145" s="195"/>
      <c r="H145" s="191">
        <f>SUM(H141:H144)</f>
        <v>68591.204281816943</v>
      </c>
      <c r="I145" s="192">
        <f>H145/B145</f>
        <v>2743.6481712726777</v>
      </c>
    </row>
    <row r="146" spans="1:9" x14ac:dyDescent="0.2">
      <c r="H146" s="50"/>
    </row>
    <row r="147" spans="1:9" x14ac:dyDescent="0.2">
      <c r="A147" s="2" t="s">
        <v>362</v>
      </c>
    </row>
    <row r="148" spans="1:9" x14ac:dyDescent="0.2">
      <c r="A148" t="s">
        <v>363</v>
      </c>
    </row>
    <row r="158" spans="1:9" x14ac:dyDescent="0.2">
      <c r="A158" s="32"/>
    </row>
    <row r="184" spans="11:11" x14ac:dyDescent="0.2">
      <c r="K184" s="83"/>
    </row>
  </sheetData>
  <mergeCells count="23">
    <mergeCell ref="C14:E14"/>
    <mergeCell ref="F14:I14"/>
    <mergeCell ref="H1:I1"/>
    <mergeCell ref="E5:F5"/>
    <mergeCell ref="H5:I5"/>
    <mergeCell ref="F27:G27"/>
    <mergeCell ref="H27:I27"/>
    <mergeCell ref="E62:F62"/>
    <mergeCell ref="H62:I62"/>
    <mergeCell ref="C71:E71"/>
    <mergeCell ref="F71:I71"/>
    <mergeCell ref="E84:F84"/>
    <mergeCell ref="H84:I84"/>
    <mergeCell ref="C93:E93"/>
    <mergeCell ref="F93:I93"/>
    <mergeCell ref="E108:F108"/>
    <mergeCell ref="H108:I108"/>
    <mergeCell ref="C117:E117"/>
    <mergeCell ref="F117:I117"/>
    <mergeCell ref="E130:F130"/>
    <mergeCell ref="H130:I130"/>
    <mergeCell ref="C139:E139"/>
    <mergeCell ref="F139:I1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DF08-434C-814A-98D7-6AFA297443BD}">
  <dimension ref="A1:H153"/>
  <sheetViews>
    <sheetView topLeftCell="A110" zoomScale="70" zoomScaleNormal="70" workbookViewId="0">
      <selection activeCell="B142" sqref="B142"/>
    </sheetView>
  </sheetViews>
  <sheetFormatPr baseColWidth="10" defaultColWidth="8.83203125" defaultRowHeight="15" x14ac:dyDescent="0.2"/>
  <cols>
    <col min="1" max="1" width="48.6640625" style="203" customWidth="1"/>
    <col min="2" max="2" width="13.33203125" style="207" customWidth="1"/>
    <col min="3" max="3" width="8.83203125" style="207"/>
    <col min="4" max="4" width="11.1640625" style="207" customWidth="1"/>
    <col min="5" max="6" width="20.6640625" style="207" customWidth="1"/>
    <col min="7" max="7" width="19.5" style="203" hidden="1" customWidth="1"/>
    <col min="8" max="8" width="10.1640625" style="203" bestFit="1" customWidth="1"/>
    <col min="9" max="16384" width="8.83203125" style="203"/>
  </cols>
  <sheetData>
    <row r="1" spans="1:6" s="290" customFormat="1" ht="24" x14ac:dyDescent="0.3">
      <c r="A1" s="289" t="s">
        <v>325</v>
      </c>
      <c r="E1" s="368">
        <f>'Financial Summary'!M1</f>
        <v>45135</v>
      </c>
      <c r="F1" s="369"/>
    </row>
    <row r="2" spans="1:6" x14ac:dyDescent="0.2">
      <c r="B2" s="203"/>
      <c r="C2" s="203"/>
      <c r="D2" s="203"/>
      <c r="E2" s="203"/>
      <c r="F2" s="203"/>
    </row>
    <row r="3" spans="1:6" x14ac:dyDescent="0.2">
      <c r="A3" s="288" t="s">
        <v>301</v>
      </c>
      <c r="B3" s="286">
        <f>'Area Schedule'!B32</f>
        <v>8652</v>
      </c>
      <c r="C3" s="287">
        <f>B3*'Area Schedule'!B3</f>
        <v>93130.127999999997</v>
      </c>
      <c r="D3" s="203"/>
      <c r="E3" s="203"/>
      <c r="F3" s="203"/>
    </row>
    <row r="4" spans="1:6" x14ac:dyDescent="0.2">
      <c r="A4" s="203" t="s">
        <v>94</v>
      </c>
    </row>
    <row r="5" spans="1:6" x14ac:dyDescent="0.2">
      <c r="A5" s="232" t="s">
        <v>336</v>
      </c>
      <c r="B5" s="233"/>
      <c r="C5" s="234"/>
      <c r="D5" s="234"/>
      <c r="E5" s="234"/>
      <c r="F5" s="234"/>
    </row>
    <row r="6" spans="1:6" x14ac:dyDescent="0.2">
      <c r="A6" s="206" t="s">
        <v>296</v>
      </c>
      <c r="B6" s="203"/>
      <c r="D6" s="220" t="s">
        <v>312</v>
      </c>
      <c r="E6" s="220" t="s">
        <v>95</v>
      </c>
      <c r="F6" s="220" t="s">
        <v>96</v>
      </c>
    </row>
    <row r="7" spans="1:6" x14ac:dyDescent="0.2">
      <c r="A7" s="206" t="s">
        <v>302</v>
      </c>
      <c r="B7" s="203"/>
      <c r="D7" s="219">
        <f t="shared" ref="D7:D24" si="0">E7/$C$3</f>
        <v>41.74803668260823</v>
      </c>
      <c r="E7" s="220">
        <f>SUM(E45:E46)</f>
        <v>3888000</v>
      </c>
      <c r="F7" s="220">
        <f>E7/'Financial Summary'!$E$3</f>
        <v>1059400.5449591281</v>
      </c>
    </row>
    <row r="8" spans="1:6" x14ac:dyDescent="0.2">
      <c r="A8" s="206" t="s">
        <v>303</v>
      </c>
      <c r="B8" s="203"/>
      <c r="D8" s="219">
        <f t="shared" si="0"/>
        <v>204.36485387414049</v>
      </c>
      <c r="E8" s="220">
        <f>SUM(E9:E13)</f>
        <v>19032525</v>
      </c>
      <c r="F8" s="220">
        <f>SUM(F9:F13)</f>
        <v>5185974.1144414172</v>
      </c>
    </row>
    <row r="9" spans="1:6" s="222" customFormat="1" x14ac:dyDescent="0.2">
      <c r="A9" s="222" t="s">
        <v>304</v>
      </c>
      <c r="C9" s="223"/>
      <c r="D9" s="237">
        <f t="shared" si="0"/>
        <v>54.413111082591875</v>
      </c>
      <c r="E9" s="223">
        <f>SUM(E49:E57)</f>
        <v>5067500</v>
      </c>
      <c r="F9" s="223">
        <f>E9/'Financial Summary'!$E$3</f>
        <v>1380790.190735695</v>
      </c>
    </row>
    <row r="10" spans="1:6" s="222" customFormat="1" x14ac:dyDescent="0.2">
      <c r="A10" s="222" t="s">
        <v>305</v>
      </c>
      <c r="C10" s="223"/>
      <c r="D10" s="237">
        <f t="shared" si="0"/>
        <v>45.16878791361696</v>
      </c>
      <c r="E10" s="223">
        <f>SUM(E59:E64)</f>
        <v>4206575</v>
      </c>
      <c r="F10" s="223">
        <f>E10/'Financial Summary'!$E$3</f>
        <v>1146205.7220708446</v>
      </c>
    </row>
    <row r="11" spans="1:6" x14ac:dyDescent="0.2">
      <c r="A11" s="222" t="s">
        <v>310</v>
      </c>
      <c r="B11" s="223"/>
      <c r="C11" s="223"/>
      <c r="D11" s="237">
        <f t="shared" si="0"/>
        <v>2.6844159389537188</v>
      </c>
      <c r="E11" s="223">
        <f>SUM(E66)</f>
        <v>250000</v>
      </c>
      <c r="F11" s="223">
        <f>E11/'Financial Summary'!$E$3</f>
        <v>68119.891008174382</v>
      </c>
    </row>
    <row r="12" spans="1:6" s="222" customFormat="1" x14ac:dyDescent="0.2">
      <c r="A12" s="222" t="s">
        <v>306</v>
      </c>
      <c r="C12" s="223"/>
      <c r="D12" s="237">
        <f t="shared" si="0"/>
        <v>79.422740619448092</v>
      </c>
      <c r="E12" s="223">
        <f>SUM(E68:E79)</f>
        <v>7396650</v>
      </c>
      <c r="F12" s="223">
        <f>E12/'Financial Summary'!$E$3</f>
        <v>2015435.9673024523</v>
      </c>
    </row>
    <row r="13" spans="1:6" s="222" customFormat="1" x14ac:dyDescent="0.2">
      <c r="A13" s="222" t="s">
        <v>307</v>
      </c>
      <c r="C13" s="223"/>
      <c r="D13" s="237">
        <f t="shared" si="0"/>
        <v>22.675798319529854</v>
      </c>
      <c r="E13" s="223">
        <f>SUM(E80:E83)</f>
        <v>2111800</v>
      </c>
      <c r="F13" s="223">
        <f>E13/'Financial Summary'!$E$3</f>
        <v>575422.34332425066</v>
      </c>
    </row>
    <row r="14" spans="1:6" x14ac:dyDescent="0.2">
      <c r="A14" s="206" t="s">
        <v>308</v>
      </c>
      <c r="B14" s="203"/>
      <c r="D14" s="219">
        <f t="shared" si="0"/>
        <v>125.14961860677353</v>
      </c>
      <c r="E14" s="220">
        <f>SUM(E87:E121)</f>
        <v>11655200</v>
      </c>
      <c r="F14" s="220">
        <f>E14/'Financial Summary'!$E$3</f>
        <v>3175803.8147138967</v>
      </c>
    </row>
    <row r="15" spans="1:6" x14ac:dyDescent="0.2">
      <c r="A15" s="206" t="s">
        <v>309</v>
      </c>
      <c r="B15" s="203"/>
      <c r="D15" s="219">
        <f t="shared" si="0"/>
        <v>206.55506883873284</v>
      </c>
      <c r="E15" s="220">
        <f>SUM(E123:E125)</f>
        <v>19236500</v>
      </c>
      <c r="F15" s="220">
        <f>E15/'Financial Summary'!$E$3</f>
        <v>5241553.1335149864</v>
      </c>
    </row>
    <row r="16" spans="1:6" x14ac:dyDescent="0.2">
      <c r="A16" s="224" t="s">
        <v>326</v>
      </c>
      <c r="B16" s="225"/>
      <c r="C16" s="225"/>
      <c r="D16" s="227">
        <f t="shared" si="0"/>
        <v>577.81757800225512</v>
      </c>
      <c r="E16" s="226">
        <f>E7+E8+E14+E15</f>
        <v>53812225</v>
      </c>
      <c r="F16" s="226">
        <f>F7+F8+F14+F15</f>
        <v>14662731.60762943</v>
      </c>
    </row>
    <row r="17" spans="1:8" x14ac:dyDescent="0.2">
      <c r="A17" s="203" t="s">
        <v>321</v>
      </c>
      <c r="B17" s="203"/>
      <c r="C17" s="203"/>
      <c r="D17" s="217">
        <f t="shared" si="0"/>
        <v>107.37663755814874</v>
      </c>
      <c r="E17" s="207">
        <f>E129</f>
        <v>10000000</v>
      </c>
      <c r="F17" s="207">
        <f>E17/'Financial Summary'!$E$3</f>
        <v>2724795.6403269754</v>
      </c>
    </row>
    <row r="18" spans="1:8" x14ac:dyDescent="0.2">
      <c r="A18" s="203" t="s">
        <v>322</v>
      </c>
      <c r="D18" s="217">
        <f t="shared" si="0"/>
        <v>82.680010919774531</v>
      </c>
      <c r="E18" s="207">
        <f>E130</f>
        <v>7700000</v>
      </c>
      <c r="F18" s="207">
        <f>E18/'Financial Summary'!$E$3</f>
        <v>2098092.643051771</v>
      </c>
    </row>
    <row r="19" spans="1:8" x14ac:dyDescent="0.2">
      <c r="A19" s="224" t="s">
        <v>327</v>
      </c>
      <c r="B19" s="225"/>
      <c r="C19" s="225"/>
      <c r="D19" s="227">
        <f t="shared" si="0"/>
        <v>767.87422648017844</v>
      </c>
      <c r="E19" s="226">
        <f>SUM(E16:E18)</f>
        <v>71512225</v>
      </c>
      <c r="F19" s="226">
        <f>SUM(F16:F18)</f>
        <v>19485619.891008176</v>
      </c>
    </row>
    <row r="20" spans="1:8" x14ac:dyDescent="0.2">
      <c r="A20" s="203" t="s">
        <v>323</v>
      </c>
      <c r="D20" s="217">
        <f t="shared" si="0"/>
        <v>65.269309250815169</v>
      </c>
      <c r="E20" s="207">
        <f>E134</f>
        <v>6078539.125</v>
      </c>
      <c r="F20" s="207">
        <f>E20/'Financial Summary'!$E$3</f>
        <v>1656277.690735695</v>
      </c>
    </row>
    <row r="21" spans="1:8" x14ac:dyDescent="0.2">
      <c r="A21" s="224" t="s">
        <v>328</v>
      </c>
      <c r="B21" s="225"/>
      <c r="C21" s="225"/>
      <c r="D21" s="227">
        <f t="shared" si="0"/>
        <v>833.14353573099356</v>
      </c>
      <c r="E21" s="226">
        <f>SUM(E19:E20)</f>
        <v>77590764.125</v>
      </c>
      <c r="F21" s="226">
        <f>SUM(F19:F20)</f>
        <v>21141897.58174387</v>
      </c>
    </row>
    <row r="22" spans="1:8" x14ac:dyDescent="0.2">
      <c r="A22" s="203" t="s">
        <v>324</v>
      </c>
      <c r="D22" s="217">
        <f t="shared" si="0"/>
        <v>124.97153035964904</v>
      </c>
      <c r="E22" s="207">
        <f>E138</f>
        <v>11638614.61875</v>
      </c>
      <c r="F22" s="207">
        <f>E22/'Financial Summary'!$E$3</f>
        <v>3171284.6372615807</v>
      </c>
    </row>
    <row r="23" spans="1:8" x14ac:dyDescent="0.2">
      <c r="A23" s="326" t="str">
        <f>A140</f>
        <v>Regional Design Discount</v>
      </c>
      <c r="D23" s="327">
        <f t="shared" si="0"/>
        <v>-874.80071251754316</v>
      </c>
      <c r="E23" s="328">
        <f>E140</f>
        <v>-81470302.331249997</v>
      </c>
    </row>
    <row r="24" spans="1:8" x14ac:dyDescent="0.2">
      <c r="A24" s="232" t="s">
        <v>320</v>
      </c>
      <c r="B24" s="234"/>
      <c r="C24" s="234"/>
      <c r="D24" s="235">
        <f t="shared" si="0"/>
        <v>83.314353573099453</v>
      </c>
      <c r="E24" s="236">
        <f>SUM(E21:E23)</f>
        <v>7759076.4125000089</v>
      </c>
      <c r="F24" s="236">
        <f>SUM(F21:F22)</f>
        <v>24313182.219005451</v>
      </c>
    </row>
    <row r="26" spans="1:8" x14ac:dyDescent="0.2">
      <c r="A26" s="232" t="s">
        <v>337</v>
      </c>
      <c r="B26" s="233"/>
      <c r="C26" s="234"/>
      <c r="D26" s="234"/>
      <c r="E26" s="234"/>
      <c r="F26" s="234"/>
    </row>
    <row r="27" spans="1:8" x14ac:dyDescent="0.2">
      <c r="B27" s="203"/>
      <c r="D27" s="220" t="s">
        <v>312</v>
      </c>
      <c r="E27" s="220" t="s">
        <v>95</v>
      </c>
      <c r="F27" s="220" t="str">
        <f>F6</f>
        <v>USD</v>
      </c>
    </row>
    <row r="28" spans="1:8" x14ac:dyDescent="0.2">
      <c r="A28" s="203" t="s">
        <v>338</v>
      </c>
      <c r="B28" s="203"/>
      <c r="D28" s="217">
        <f>E28/$C$3</f>
        <v>139.58962882559337</v>
      </c>
      <c r="E28" s="207">
        <f>E150</f>
        <v>13000000</v>
      </c>
      <c r="F28" s="207">
        <f>E28/'Financial Summary'!$E$3</f>
        <v>3542234.3324250681</v>
      </c>
    </row>
    <row r="30" spans="1:8" x14ac:dyDescent="0.2">
      <c r="A30" s="232" t="s">
        <v>340</v>
      </c>
      <c r="B30" s="234"/>
      <c r="C30" s="234"/>
      <c r="D30" s="235">
        <f>E30/$C$3</f>
        <v>139.58962882559337</v>
      </c>
      <c r="E30" s="236">
        <f>SUM(E28:E29)</f>
        <v>13000000</v>
      </c>
      <c r="F30" s="236">
        <f>SUM(F28:F29)</f>
        <v>3542234.3324250681</v>
      </c>
    </row>
    <row r="31" spans="1:8" x14ac:dyDescent="0.2">
      <c r="D31" s="220" t="s">
        <v>312</v>
      </c>
      <c r="E31" s="220" t="s">
        <v>95</v>
      </c>
      <c r="F31" s="220" t="str">
        <f>F27</f>
        <v>USD</v>
      </c>
      <c r="H31" s="203" t="s">
        <v>94</v>
      </c>
    </row>
    <row r="32" spans="1:8" x14ac:dyDescent="0.2">
      <c r="A32" s="203" t="s">
        <v>343</v>
      </c>
      <c r="B32" s="207" t="s">
        <v>333</v>
      </c>
      <c r="C32" s="228">
        <v>0.12</v>
      </c>
      <c r="D32" s="217">
        <f>E32/$C$3</f>
        <v>9.9977224287719331</v>
      </c>
      <c r="E32" s="207">
        <f>E24*C32</f>
        <v>931089.16950000101</v>
      </c>
      <c r="F32" s="207">
        <f>E32/'Financial Summary'!$E$3</f>
        <v>253702.7709809267</v>
      </c>
    </row>
    <row r="33" spans="1:8" x14ac:dyDescent="0.2">
      <c r="A33" s="203" t="s">
        <v>331</v>
      </c>
      <c r="B33" s="230" t="s">
        <v>333</v>
      </c>
      <c r="C33" s="228">
        <v>0.02</v>
      </c>
      <c r="D33" s="217">
        <f>E33/$C$3</f>
        <v>1.6662870714619891</v>
      </c>
      <c r="E33" s="207">
        <f>E24*C33</f>
        <v>155181.52825000018</v>
      </c>
      <c r="F33" s="207">
        <f>E33/'Financial Summary'!$E$3</f>
        <v>42283.79516348779</v>
      </c>
    </row>
    <row r="34" spans="1:8" x14ac:dyDescent="0.2">
      <c r="A34" s="203" t="s">
        <v>344</v>
      </c>
      <c r="B34" s="230" t="s">
        <v>332</v>
      </c>
      <c r="C34" s="228">
        <v>0</v>
      </c>
      <c r="D34" s="217">
        <f>E34/$C$3</f>
        <v>0</v>
      </c>
      <c r="E34" s="207">
        <f>C34*E30</f>
        <v>0</v>
      </c>
      <c r="F34" s="207">
        <f>E34/'Financial Summary'!$E$3</f>
        <v>0</v>
      </c>
    </row>
    <row r="35" spans="1:8" x14ac:dyDescent="0.2">
      <c r="A35" s="203" t="s">
        <v>94</v>
      </c>
      <c r="B35" s="203"/>
    </row>
    <row r="36" spans="1:8" x14ac:dyDescent="0.2">
      <c r="A36" s="232" t="s">
        <v>330</v>
      </c>
      <c r="B36" s="234"/>
      <c r="C36" s="234"/>
      <c r="D36" s="235">
        <f>E36/$C$3</f>
        <v>11.664009500233922</v>
      </c>
      <c r="E36" s="236">
        <f>SUM(E32:E35)</f>
        <v>1086270.6977500012</v>
      </c>
      <c r="F36" s="236">
        <f>SUM(F32:F35)</f>
        <v>295986.56614441448</v>
      </c>
    </row>
    <row r="41" spans="1:8" x14ac:dyDescent="0.2">
      <c r="A41" s="238" t="s">
        <v>329</v>
      </c>
    </row>
    <row r="43" spans="1:8" x14ac:dyDescent="0.2">
      <c r="A43" s="224" t="s">
        <v>296</v>
      </c>
      <c r="B43" s="226" t="s">
        <v>295</v>
      </c>
      <c r="C43" s="226" t="s">
        <v>294</v>
      </c>
      <c r="D43" s="226" t="s">
        <v>293</v>
      </c>
      <c r="E43" s="226" t="s">
        <v>158</v>
      </c>
      <c r="F43" s="226" t="s">
        <v>158</v>
      </c>
    </row>
    <row r="44" spans="1:8" x14ac:dyDescent="0.2">
      <c r="A44" s="206" t="s">
        <v>292</v>
      </c>
      <c r="E44" s="220" t="s">
        <v>95</v>
      </c>
      <c r="F44" s="220" t="str">
        <f>F31</f>
        <v>USD</v>
      </c>
    </row>
    <row r="45" spans="1:8" x14ac:dyDescent="0.2">
      <c r="A45" s="211" t="s">
        <v>291</v>
      </c>
      <c r="B45" s="207">
        <f>SUM('Area Schedule'!B6:B11)</f>
        <v>2598</v>
      </c>
      <c r="C45" s="207" t="s">
        <v>224</v>
      </c>
      <c r="D45" s="221">
        <v>1250</v>
      </c>
      <c r="E45" s="207">
        <f>D45*B45</f>
        <v>3247500</v>
      </c>
      <c r="F45" s="207">
        <f>E45/'Financial Summary'!$E$3</f>
        <v>884877.38419618527</v>
      </c>
    </row>
    <row r="46" spans="1:8" x14ac:dyDescent="0.2">
      <c r="A46" s="211" t="s">
        <v>290</v>
      </c>
      <c r="B46" s="207">
        <f>SUM('Area Schedule'!B12:B13)</f>
        <v>854</v>
      </c>
      <c r="C46" s="207" t="s">
        <v>224</v>
      </c>
      <c r="D46" s="221">
        <v>750</v>
      </c>
      <c r="E46" s="207">
        <f>D46*B46</f>
        <v>640500</v>
      </c>
      <c r="F46" s="207">
        <f>E46/'Financial Summary'!$E$3</f>
        <v>174523.16076294277</v>
      </c>
      <c r="H46" s="215"/>
    </row>
    <row r="47" spans="1:8" x14ac:dyDescent="0.2">
      <c r="A47" s="206" t="s">
        <v>289</v>
      </c>
    </row>
    <row r="48" spans="1:8" x14ac:dyDescent="0.2">
      <c r="A48" s="212" t="s">
        <v>288</v>
      </c>
    </row>
    <row r="49" spans="1:6" x14ac:dyDescent="0.2">
      <c r="A49" s="211" t="s">
        <v>287</v>
      </c>
      <c r="B49" s="207">
        <f>SUM('Area Schedule'!B16:B20)</f>
        <v>2600</v>
      </c>
      <c r="C49" s="207" t="s">
        <v>224</v>
      </c>
      <c r="D49" s="221">
        <v>300</v>
      </c>
      <c r="E49" s="207">
        <f>D49*B49</f>
        <v>780000</v>
      </c>
      <c r="F49" s="207">
        <f>E49/'Financial Summary'!$E$3</f>
        <v>212534.05994550409</v>
      </c>
    </row>
    <row r="50" spans="1:6" x14ac:dyDescent="0.2">
      <c r="A50" s="211" t="s">
        <v>286</v>
      </c>
      <c r="B50" s="207">
        <f>SUM('Area Schedule'!B23:B29)</f>
        <v>2600</v>
      </c>
      <c r="C50" s="207" t="s">
        <v>224</v>
      </c>
      <c r="D50" s="221">
        <v>300</v>
      </c>
      <c r="E50" s="207">
        <f>D50*B50</f>
        <v>780000</v>
      </c>
      <c r="F50" s="207">
        <f>E50/'Financial Summary'!$E$3</f>
        <v>212534.05994550409</v>
      </c>
    </row>
    <row r="51" spans="1:6" x14ac:dyDescent="0.2">
      <c r="A51" s="211" t="s">
        <v>285</v>
      </c>
      <c r="B51" s="207">
        <f>SUM('Area Schedule'!B23:B25)+'Area Schedule'!B29</f>
        <v>825</v>
      </c>
      <c r="C51" s="207" t="s">
        <v>224</v>
      </c>
      <c r="D51" s="221">
        <v>300</v>
      </c>
      <c r="E51" s="207">
        <f>D51*B51</f>
        <v>247500</v>
      </c>
      <c r="F51" s="207">
        <f>E51/'Financial Summary'!$E$3</f>
        <v>67438.692098092652</v>
      </c>
    </row>
    <row r="52" spans="1:6" x14ac:dyDescent="0.2">
      <c r="A52" s="211" t="s">
        <v>284</v>
      </c>
      <c r="B52" s="221">
        <v>2</v>
      </c>
      <c r="C52" s="207" t="s">
        <v>283</v>
      </c>
      <c r="D52" s="221">
        <v>200000</v>
      </c>
      <c r="E52" s="207">
        <f>D52*B52</f>
        <v>400000</v>
      </c>
      <c r="F52" s="207">
        <f>E52/'Financial Summary'!$E$3</f>
        <v>108991.82561307903</v>
      </c>
    </row>
    <row r="53" spans="1:6" x14ac:dyDescent="0.2">
      <c r="A53" s="212" t="s">
        <v>282</v>
      </c>
    </row>
    <row r="54" spans="1:6" x14ac:dyDescent="0.2">
      <c r="A54" s="211" t="s">
        <v>281</v>
      </c>
      <c r="B54" s="207">
        <f>B50-B55</f>
        <v>825</v>
      </c>
      <c r="C54" s="207" t="s">
        <v>224</v>
      </c>
      <c r="D54" s="221">
        <v>550</v>
      </c>
      <c r="E54" s="207">
        <f>D54*B54</f>
        <v>453750</v>
      </c>
      <c r="F54" s="207">
        <f>E54/'Financial Summary'!$E$3</f>
        <v>123637.60217983651</v>
      </c>
    </row>
    <row r="55" spans="1:6" x14ac:dyDescent="0.2">
      <c r="A55" s="211" t="s">
        <v>280</v>
      </c>
      <c r="B55" s="207">
        <f>'Area Schedule'!B19</f>
        <v>1775</v>
      </c>
      <c r="C55" s="207" t="s">
        <v>224</v>
      </c>
      <c r="D55" s="221">
        <v>550</v>
      </c>
      <c r="E55" s="207">
        <f>D55*B55</f>
        <v>976250</v>
      </c>
      <c r="F55" s="207">
        <f>E55/'Financial Summary'!$E$3</f>
        <v>266008.17438692099</v>
      </c>
    </row>
    <row r="56" spans="1:6" x14ac:dyDescent="0.2">
      <c r="A56" s="211" t="s">
        <v>279</v>
      </c>
      <c r="B56" s="207">
        <f>'Area Schedule'!B30-B57</f>
        <v>1319</v>
      </c>
      <c r="C56" s="207" t="s">
        <v>224</v>
      </c>
      <c r="D56" s="221">
        <v>550</v>
      </c>
      <c r="E56" s="207">
        <f>D56*B56</f>
        <v>725450</v>
      </c>
      <c r="F56" s="207">
        <f>E56/'Financial Summary'!$E$3</f>
        <v>197670.29972752044</v>
      </c>
    </row>
    <row r="57" spans="1:6" x14ac:dyDescent="0.2">
      <c r="A57" s="211" t="s">
        <v>278</v>
      </c>
      <c r="B57" s="207">
        <f>'Area Schedule'!B26+'Area Schedule'!B27</f>
        <v>1281</v>
      </c>
      <c r="C57" s="207" t="s">
        <v>224</v>
      </c>
      <c r="D57" s="221">
        <v>550</v>
      </c>
      <c r="E57" s="207">
        <f>D57*B57</f>
        <v>704550</v>
      </c>
      <c r="F57" s="207">
        <f>E57/'Financial Summary'!$E$3</f>
        <v>191975.47683923706</v>
      </c>
    </row>
    <row r="58" spans="1:6" x14ac:dyDescent="0.2">
      <c r="A58" s="212" t="s">
        <v>277</v>
      </c>
    </row>
    <row r="59" spans="1:6" x14ac:dyDescent="0.2">
      <c r="A59" s="211" t="s">
        <v>276</v>
      </c>
      <c r="B59" s="207">
        <f>B51</f>
        <v>825</v>
      </c>
      <c r="C59" s="207" t="s">
        <v>224</v>
      </c>
      <c r="D59" s="221">
        <v>450</v>
      </c>
      <c r="E59" s="207">
        <f t="shared" ref="E59:E64" si="1">D59*B59</f>
        <v>371250</v>
      </c>
      <c r="F59" s="207">
        <f>E59/'Financial Summary'!$E$3</f>
        <v>101158.03814713897</v>
      </c>
    </row>
    <row r="60" spans="1:6" x14ac:dyDescent="0.2">
      <c r="A60" s="211" t="s">
        <v>275</v>
      </c>
      <c r="B60" s="207">
        <f>B59</f>
        <v>825</v>
      </c>
      <c r="C60" s="207" t="s">
        <v>224</v>
      </c>
      <c r="D60" s="221">
        <v>475</v>
      </c>
      <c r="E60" s="207">
        <f t="shared" si="1"/>
        <v>391875</v>
      </c>
      <c r="F60" s="207">
        <f>E60/'Financial Summary'!$E$3</f>
        <v>106777.92915531335</v>
      </c>
    </row>
    <row r="61" spans="1:6" x14ac:dyDescent="0.2">
      <c r="A61" s="211" t="s">
        <v>274</v>
      </c>
      <c r="B61" s="207">
        <f>B55</f>
        <v>1775</v>
      </c>
      <c r="C61" s="207" t="s">
        <v>224</v>
      </c>
      <c r="D61" s="221">
        <v>275</v>
      </c>
      <c r="E61" s="207">
        <f t="shared" si="1"/>
        <v>488125</v>
      </c>
      <c r="F61" s="207">
        <f>E61/'Financial Summary'!$E$3</f>
        <v>133004.08719346049</v>
      </c>
    </row>
    <row r="62" spans="1:6" x14ac:dyDescent="0.2">
      <c r="A62" s="211" t="s">
        <v>273</v>
      </c>
      <c r="B62" s="207">
        <f>B57</f>
        <v>1281</v>
      </c>
      <c r="C62" s="207" t="s">
        <v>224</v>
      </c>
      <c r="D62" s="221">
        <v>275</v>
      </c>
      <c r="E62" s="207">
        <f t="shared" si="1"/>
        <v>352275</v>
      </c>
      <c r="F62" s="207">
        <f>E62/'Financial Summary'!$E$3</f>
        <v>95987.73841961853</v>
      </c>
    </row>
    <row r="63" spans="1:6" x14ac:dyDescent="0.2">
      <c r="A63" s="211" t="s">
        <v>272</v>
      </c>
      <c r="B63" s="207">
        <v>1775</v>
      </c>
      <c r="C63" s="207" t="s">
        <v>224</v>
      </c>
      <c r="D63" s="221">
        <v>1250</v>
      </c>
      <c r="E63" s="207">
        <f t="shared" si="1"/>
        <v>2218750</v>
      </c>
      <c r="F63" s="207">
        <f>E63/'Financial Summary'!$E$3</f>
        <v>604564.03269754769</v>
      </c>
    </row>
    <row r="64" spans="1:6" x14ac:dyDescent="0.2">
      <c r="A64" s="211" t="s">
        <v>271</v>
      </c>
      <c r="B64" s="207">
        <f>B46</f>
        <v>854</v>
      </c>
      <c r="C64" s="207" t="s">
        <v>224</v>
      </c>
      <c r="D64" s="221">
        <v>450</v>
      </c>
      <c r="E64" s="207">
        <f t="shared" si="1"/>
        <v>384300</v>
      </c>
      <c r="F64" s="207">
        <f>E64/'Financial Summary'!$E$3</f>
        <v>104713.89645776567</v>
      </c>
    </row>
    <row r="65" spans="1:6" x14ac:dyDescent="0.2">
      <c r="A65" s="212" t="s">
        <v>270</v>
      </c>
    </row>
    <row r="66" spans="1:6" x14ac:dyDescent="0.2">
      <c r="A66" s="211" t="s">
        <v>269</v>
      </c>
      <c r="B66" s="221">
        <v>1</v>
      </c>
      <c r="C66" s="207" t="s">
        <v>229</v>
      </c>
      <c r="D66" s="221">
        <v>250000</v>
      </c>
      <c r="E66" s="207">
        <f>D66*B66</f>
        <v>250000</v>
      </c>
      <c r="F66" s="207">
        <f>E66/'Financial Summary'!$E$3</f>
        <v>68119.891008174382</v>
      </c>
    </row>
    <row r="67" spans="1:6" x14ac:dyDescent="0.2">
      <c r="A67" s="212" t="s">
        <v>268</v>
      </c>
    </row>
    <row r="68" spans="1:6" x14ac:dyDescent="0.2">
      <c r="A68" s="211" t="s">
        <v>267</v>
      </c>
      <c r="B68" s="221">
        <f>144*14</f>
        <v>2016</v>
      </c>
      <c r="C68" s="207" t="s">
        <v>224</v>
      </c>
      <c r="D68" s="221">
        <v>650</v>
      </c>
      <c r="E68" s="207">
        <f t="shared" ref="E68:E78" si="2">D68*B68</f>
        <v>1310400</v>
      </c>
      <c r="F68" s="207">
        <f>E68/'Financial Summary'!$E$3</f>
        <v>357057.22070844687</v>
      </c>
    </row>
    <row r="69" spans="1:6" x14ac:dyDescent="0.2">
      <c r="A69" s="211" t="s">
        <v>266</v>
      </c>
      <c r="B69" s="221">
        <f>4*16*5+2*16*5+4*16*5</f>
        <v>800</v>
      </c>
      <c r="C69" s="207" t="s">
        <v>224</v>
      </c>
      <c r="D69" s="221">
        <v>950</v>
      </c>
      <c r="E69" s="207">
        <f t="shared" si="2"/>
        <v>760000</v>
      </c>
      <c r="F69" s="207">
        <f>E69/'Financial Summary'!$E$3</f>
        <v>207084.46866485014</v>
      </c>
    </row>
    <row r="70" spans="1:6" x14ac:dyDescent="0.2">
      <c r="A70" s="211" t="s">
        <v>265</v>
      </c>
      <c r="B70" s="221">
        <f>41+9+9+6+6</f>
        <v>71</v>
      </c>
      <c r="C70" s="207" t="s">
        <v>253</v>
      </c>
      <c r="D70" s="221">
        <v>5000</v>
      </c>
      <c r="E70" s="207">
        <f t="shared" si="2"/>
        <v>355000</v>
      </c>
      <c r="F70" s="207">
        <f>E70/'Financial Summary'!$E$3</f>
        <v>96730.245231607638</v>
      </c>
    </row>
    <row r="71" spans="1:6" x14ac:dyDescent="0.2">
      <c r="A71" s="211" t="s">
        <v>264</v>
      </c>
      <c r="B71" s="221">
        <f>70*4.5</f>
        <v>315</v>
      </c>
      <c r="C71" s="207" t="s">
        <v>224</v>
      </c>
      <c r="D71" s="221">
        <v>2250</v>
      </c>
      <c r="E71" s="207">
        <f t="shared" si="2"/>
        <v>708750</v>
      </c>
      <c r="F71" s="207">
        <f>E71/'Financial Summary'!$E$3</f>
        <v>193119.8910081744</v>
      </c>
    </row>
    <row r="72" spans="1:6" x14ac:dyDescent="0.2">
      <c r="A72" s="211" t="s">
        <v>263</v>
      </c>
      <c r="B72" s="221">
        <f>144*4.5</f>
        <v>648</v>
      </c>
      <c r="C72" s="207" t="s">
        <v>224</v>
      </c>
      <c r="D72" s="221">
        <v>2250</v>
      </c>
      <c r="E72" s="207">
        <f t="shared" si="2"/>
        <v>1458000</v>
      </c>
      <c r="F72" s="207">
        <f>E72/'Financial Summary'!$E$3</f>
        <v>397275.20435967302</v>
      </c>
    </row>
    <row r="73" spans="1:6" x14ac:dyDescent="0.2">
      <c r="A73" s="211" t="s">
        <v>262</v>
      </c>
      <c r="B73" s="221">
        <f>100*4.5</f>
        <v>450</v>
      </c>
      <c r="C73" s="207" t="s">
        <v>224</v>
      </c>
      <c r="D73" s="221">
        <v>2250</v>
      </c>
      <c r="E73" s="207">
        <f t="shared" si="2"/>
        <v>1012500</v>
      </c>
      <c r="F73" s="207">
        <f>E73/'Financial Summary'!$E$3</f>
        <v>275885.55858310626</v>
      </c>
    </row>
    <row r="74" spans="1:6" x14ac:dyDescent="0.2">
      <c r="A74" s="211" t="s">
        <v>261</v>
      </c>
      <c r="B74" s="221">
        <v>1</v>
      </c>
      <c r="C74" s="207" t="s">
        <v>229</v>
      </c>
      <c r="D74" s="221">
        <v>250000</v>
      </c>
      <c r="E74" s="207">
        <f t="shared" si="2"/>
        <v>250000</v>
      </c>
      <c r="F74" s="207">
        <f>E74/'Financial Summary'!$E$3</f>
        <v>68119.891008174382</v>
      </c>
    </row>
    <row r="75" spans="1:6" x14ac:dyDescent="0.2">
      <c r="A75" s="211" t="s">
        <v>260</v>
      </c>
      <c r="B75" s="221">
        <v>16</v>
      </c>
      <c r="C75" s="207" t="s">
        <v>253</v>
      </c>
      <c r="D75" s="221">
        <v>20000</v>
      </c>
      <c r="E75" s="207">
        <f t="shared" si="2"/>
        <v>320000</v>
      </c>
      <c r="F75" s="207">
        <f>E75/'Financial Summary'!$E$3</f>
        <v>87193.460490463214</v>
      </c>
    </row>
    <row r="76" spans="1:6" x14ac:dyDescent="0.2">
      <c r="A76" s="211" t="s">
        <v>259</v>
      </c>
      <c r="B76" s="221">
        <v>20</v>
      </c>
      <c r="C76" s="207" t="s">
        <v>224</v>
      </c>
      <c r="D76" s="221">
        <v>2000</v>
      </c>
      <c r="E76" s="207">
        <f t="shared" si="2"/>
        <v>40000</v>
      </c>
      <c r="F76" s="207">
        <f>E76/'Financial Summary'!$E$3</f>
        <v>10899.182561307902</v>
      </c>
    </row>
    <row r="77" spans="1:6" x14ac:dyDescent="0.2">
      <c r="A77" s="211" t="s">
        <v>258</v>
      </c>
      <c r="B77" s="221">
        <f>2*144</f>
        <v>288</v>
      </c>
      <c r="C77" s="207" t="s">
        <v>257</v>
      </c>
      <c r="D77" s="221">
        <v>1500</v>
      </c>
      <c r="E77" s="207">
        <f t="shared" si="2"/>
        <v>432000</v>
      </c>
      <c r="F77" s="207">
        <f>E77/'Financial Summary'!$E$3</f>
        <v>117711.17166212534</v>
      </c>
    </row>
    <row r="78" spans="1:6" x14ac:dyDescent="0.2">
      <c r="A78" s="211" t="s">
        <v>256</v>
      </c>
      <c r="B78" s="221">
        <v>1</v>
      </c>
      <c r="C78" s="207" t="s">
        <v>229</v>
      </c>
      <c r="D78" s="221">
        <v>750000</v>
      </c>
      <c r="E78" s="207">
        <f t="shared" si="2"/>
        <v>750000</v>
      </c>
      <c r="F78" s="207">
        <f>E78/'Financial Summary'!$E$3</f>
        <v>204359.67302452316</v>
      </c>
    </row>
    <row r="79" spans="1:6" x14ac:dyDescent="0.2">
      <c r="A79" s="212" t="s">
        <v>255</v>
      </c>
    </row>
    <row r="80" spans="1:6" x14ac:dyDescent="0.2">
      <c r="A80" s="211" t="s">
        <v>251</v>
      </c>
      <c r="B80" s="207">
        <f>B45</f>
        <v>2598</v>
      </c>
      <c r="C80" s="207" t="s">
        <v>224</v>
      </c>
      <c r="D80" s="221">
        <v>350</v>
      </c>
      <c r="E80" s="207">
        <f>D80*B80</f>
        <v>909300</v>
      </c>
      <c r="F80" s="207">
        <f>E80/'Financial Summary'!$E$3</f>
        <v>247765.6675749319</v>
      </c>
    </row>
    <row r="81" spans="1:8" x14ac:dyDescent="0.2">
      <c r="A81" s="211" t="s">
        <v>248</v>
      </c>
      <c r="B81" s="207">
        <f>B54</f>
        <v>825</v>
      </c>
      <c r="C81" s="207" t="s">
        <v>224</v>
      </c>
      <c r="D81" s="221">
        <v>350</v>
      </c>
      <c r="E81" s="207">
        <f>D81*B81</f>
        <v>288750</v>
      </c>
      <c r="F81" s="207">
        <f>E81/'Financial Summary'!$E$3</f>
        <v>78678.474114441415</v>
      </c>
    </row>
    <row r="82" spans="1:8" x14ac:dyDescent="0.2">
      <c r="A82" s="211" t="s">
        <v>247</v>
      </c>
      <c r="B82" s="207">
        <f>B51</f>
        <v>825</v>
      </c>
      <c r="C82" s="207" t="s">
        <v>224</v>
      </c>
      <c r="D82" s="221">
        <v>350</v>
      </c>
      <c r="E82" s="207">
        <f>D82*B82</f>
        <v>288750</v>
      </c>
      <c r="F82" s="207">
        <f>E82/'Financial Summary'!$E$3</f>
        <v>78678.474114441415</v>
      </c>
    </row>
    <row r="83" spans="1:8" x14ac:dyDescent="0.2">
      <c r="A83" s="211" t="s">
        <v>254</v>
      </c>
      <c r="B83" s="221">
        <v>5</v>
      </c>
      <c r="C83" s="207" t="s">
        <v>253</v>
      </c>
      <c r="D83" s="221">
        <v>125000</v>
      </c>
      <c r="E83" s="207">
        <f>D83*B83</f>
        <v>625000</v>
      </c>
      <c r="F83" s="207">
        <f>E83/'Financial Summary'!$E$3</f>
        <v>170299.72752043596</v>
      </c>
      <c r="H83" s="215"/>
    </row>
    <row r="84" spans="1:8" x14ac:dyDescent="0.2">
      <c r="A84" s="206" t="s">
        <v>252</v>
      </c>
    </row>
    <row r="85" spans="1:8" x14ac:dyDescent="0.2">
      <c r="A85" s="213" t="s">
        <v>241</v>
      </c>
    </row>
    <row r="86" spans="1:8" x14ac:dyDescent="0.2">
      <c r="A86" s="212" t="s">
        <v>251</v>
      </c>
    </row>
    <row r="87" spans="1:8" x14ac:dyDescent="0.2">
      <c r="A87" s="211" t="s">
        <v>239</v>
      </c>
      <c r="B87" s="207">
        <f>'Area Schedule'!B6</f>
        <v>647</v>
      </c>
      <c r="C87" s="207" t="s">
        <v>224</v>
      </c>
      <c r="D87" s="221">
        <v>1150</v>
      </c>
      <c r="E87" s="207">
        <f>D87*B87</f>
        <v>744050</v>
      </c>
      <c r="F87" s="207">
        <f>E87/'Financial Summary'!$E$3</f>
        <v>202738.41961852863</v>
      </c>
    </row>
    <row r="88" spans="1:8" x14ac:dyDescent="0.2">
      <c r="A88" s="211" t="s">
        <v>238</v>
      </c>
      <c r="B88" s="207">
        <f>'Area Schedule'!B7</f>
        <v>997</v>
      </c>
      <c r="C88" s="207" t="s">
        <v>224</v>
      </c>
      <c r="D88" s="221">
        <v>850</v>
      </c>
      <c r="E88" s="207">
        <f>D88*B88</f>
        <v>847450</v>
      </c>
      <c r="F88" s="207">
        <f>E88/'Financial Summary'!$E$3</f>
        <v>230912.80653950953</v>
      </c>
    </row>
    <row r="89" spans="1:8" x14ac:dyDescent="0.2">
      <c r="A89" s="211" t="s">
        <v>237</v>
      </c>
      <c r="B89" s="207">
        <f>'Area Schedule'!B8</f>
        <v>144</v>
      </c>
      <c r="C89" s="207" t="s">
        <v>224</v>
      </c>
      <c r="D89" s="221">
        <v>1450</v>
      </c>
      <c r="E89" s="207">
        <f>D89*B89</f>
        <v>208800</v>
      </c>
      <c r="F89" s="207">
        <f>E89/'Financial Summary'!$E$3</f>
        <v>56893.732970027246</v>
      </c>
    </row>
    <row r="90" spans="1:8" x14ac:dyDescent="0.2">
      <c r="A90" s="211" t="s">
        <v>236</v>
      </c>
      <c r="B90" s="207">
        <f>'Area Schedule'!B9</f>
        <v>170</v>
      </c>
      <c r="C90" s="207" t="s">
        <v>224</v>
      </c>
      <c r="D90" s="221">
        <v>350</v>
      </c>
      <c r="E90" s="207">
        <f>D90*B90</f>
        <v>59500</v>
      </c>
      <c r="F90" s="207">
        <f>E90/'Financial Summary'!$E$3</f>
        <v>16212.534059945505</v>
      </c>
    </row>
    <row r="91" spans="1:8" x14ac:dyDescent="0.2">
      <c r="A91" s="211" t="s">
        <v>235</v>
      </c>
      <c r="B91" s="207">
        <f>'Area Schedule'!B10</f>
        <v>578</v>
      </c>
      <c r="C91" s="207" t="s">
        <v>224</v>
      </c>
      <c r="D91" s="221">
        <v>350</v>
      </c>
      <c r="E91" s="207">
        <f>D91*B91</f>
        <v>202300</v>
      </c>
      <c r="F91" s="207">
        <f>E91/'Financial Summary'!$E$3</f>
        <v>55122.615803814711</v>
      </c>
    </row>
    <row r="92" spans="1:8" x14ac:dyDescent="0.2">
      <c r="A92" s="211" t="s">
        <v>243</v>
      </c>
      <c r="B92" s="207">
        <f>'Area Schedule'!B11</f>
        <v>62</v>
      </c>
      <c r="C92" s="207" t="s">
        <v>224</v>
      </c>
      <c r="E92" s="207" t="s">
        <v>231</v>
      </c>
      <c r="F92" s="207" t="s">
        <v>231</v>
      </c>
    </row>
    <row r="93" spans="1:8" x14ac:dyDescent="0.2">
      <c r="A93" s="211" t="s">
        <v>250</v>
      </c>
      <c r="B93" s="207">
        <f>'Area Schedule'!B12</f>
        <v>427</v>
      </c>
      <c r="C93" s="207" t="s">
        <v>224</v>
      </c>
      <c r="D93" s="221">
        <v>250</v>
      </c>
      <c r="E93" s="207">
        <f>D93*B93</f>
        <v>106750</v>
      </c>
      <c r="F93" s="207">
        <f>E93/'Financial Summary'!$E$3</f>
        <v>29087.193460490464</v>
      </c>
    </row>
    <row r="94" spans="1:8" x14ac:dyDescent="0.2">
      <c r="A94" s="211" t="s">
        <v>249</v>
      </c>
      <c r="B94" s="207">
        <f>'Area Schedule'!B13</f>
        <v>427</v>
      </c>
      <c r="C94" s="207" t="s">
        <v>224</v>
      </c>
      <c r="D94" s="221">
        <v>250</v>
      </c>
      <c r="E94" s="207">
        <f>D94*B94</f>
        <v>106750</v>
      </c>
      <c r="F94" s="207">
        <f>E94/'Financial Summary'!$E$3</f>
        <v>29087.193460490464</v>
      </c>
    </row>
    <row r="95" spans="1:8" x14ac:dyDescent="0.2">
      <c r="A95" s="212" t="s">
        <v>248</v>
      </c>
    </row>
    <row r="96" spans="1:8" x14ac:dyDescent="0.2">
      <c r="A96" s="211" t="s">
        <v>246</v>
      </c>
      <c r="B96" s="207">
        <f>'Area Schedule'!B16</f>
        <v>460</v>
      </c>
      <c r="C96" s="207" t="s">
        <v>224</v>
      </c>
      <c r="D96" s="221">
        <f>D87</f>
        <v>1150</v>
      </c>
      <c r="E96" s="207">
        <f>D96*B96</f>
        <v>529000</v>
      </c>
      <c r="F96" s="207">
        <f>E96/'Financial Summary'!$E$3</f>
        <v>144141.68937329701</v>
      </c>
    </row>
    <row r="97" spans="1:7" x14ac:dyDescent="0.2">
      <c r="A97" s="211" t="s">
        <v>237</v>
      </c>
      <c r="B97" s="207">
        <f>'Area Schedule'!B17</f>
        <v>144</v>
      </c>
      <c r="C97" s="207" t="s">
        <v>224</v>
      </c>
      <c r="D97" s="221">
        <f>D89</f>
        <v>1450</v>
      </c>
      <c r="E97" s="207">
        <f>D97*B97</f>
        <v>208800</v>
      </c>
      <c r="F97" s="207">
        <f>E97/'Financial Summary'!$E$3</f>
        <v>56893.732970027246</v>
      </c>
    </row>
    <row r="98" spans="1:7" x14ac:dyDescent="0.2">
      <c r="A98" s="211" t="s">
        <v>235</v>
      </c>
      <c r="B98" s="207">
        <f>'Area Schedule'!B18</f>
        <v>159</v>
      </c>
      <c r="C98" s="207" t="s">
        <v>224</v>
      </c>
      <c r="D98" s="221">
        <f>D91</f>
        <v>350</v>
      </c>
      <c r="E98" s="207">
        <f>D98*B98</f>
        <v>55650</v>
      </c>
      <c r="F98" s="207">
        <f>E98/'Financial Summary'!$E$3</f>
        <v>15163.487738419619</v>
      </c>
    </row>
    <row r="99" spans="1:7" x14ac:dyDescent="0.2">
      <c r="A99" s="211" t="s">
        <v>243</v>
      </c>
      <c r="B99" s="207">
        <f>'Area Schedule'!B20</f>
        <v>62</v>
      </c>
      <c r="C99" s="207" t="s">
        <v>224</v>
      </c>
      <c r="E99" s="207" t="s">
        <v>231</v>
      </c>
      <c r="F99" s="207" t="s">
        <v>231</v>
      </c>
    </row>
    <row r="100" spans="1:7" x14ac:dyDescent="0.2">
      <c r="A100" s="211" t="s">
        <v>186</v>
      </c>
      <c r="B100" s="207">
        <f>'Area Schedule'!B19</f>
        <v>1775</v>
      </c>
      <c r="C100" s="207" t="s">
        <v>224</v>
      </c>
      <c r="D100" s="221">
        <f>D94</f>
        <v>250</v>
      </c>
      <c r="E100" s="207">
        <f>D100*B100</f>
        <v>443750</v>
      </c>
      <c r="F100" s="207">
        <f>E100/'Financial Summary'!$E$3</f>
        <v>120912.80653950953</v>
      </c>
    </row>
    <row r="101" spans="1:7" x14ac:dyDescent="0.2">
      <c r="A101" s="212" t="s">
        <v>247</v>
      </c>
    </row>
    <row r="102" spans="1:7" x14ac:dyDescent="0.2">
      <c r="A102" s="211" t="s">
        <v>246</v>
      </c>
      <c r="B102" s="207">
        <f>'Area Schedule'!B23</f>
        <v>460</v>
      </c>
      <c r="C102" s="207" t="s">
        <v>224</v>
      </c>
      <c r="D102" s="221">
        <f>D96</f>
        <v>1150</v>
      </c>
      <c r="E102" s="207">
        <f>D102*B102</f>
        <v>529000</v>
      </c>
      <c r="F102" s="207">
        <f>E102/'Financial Summary'!$E$3</f>
        <v>144141.68937329701</v>
      </c>
      <c r="G102" s="203">
        <v>446480</v>
      </c>
    </row>
    <row r="103" spans="1:7" x14ac:dyDescent="0.2">
      <c r="A103" s="211" t="s">
        <v>237</v>
      </c>
      <c r="B103" s="207">
        <f>'Area Schedule'!B24</f>
        <v>144</v>
      </c>
      <c r="C103" s="207" t="s">
        <v>224</v>
      </c>
      <c r="D103" s="221">
        <f>D97</f>
        <v>1450</v>
      </c>
      <c r="E103" s="207">
        <f>D103*B103</f>
        <v>208800</v>
      </c>
      <c r="F103" s="207">
        <f>E103/'Financial Summary'!$E$3</f>
        <v>56893.732970027246</v>
      </c>
      <c r="G103" s="203">
        <v>390670</v>
      </c>
    </row>
    <row r="104" spans="1:7" x14ac:dyDescent="0.2">
      <c r="A104" s="211" t="s">
        <v>235</v>
      </c>
      <c r="B104" s="207">
        <f>'Area Schedule'!B25</f>
        <v>159</v>
      </c>
      <c r="C104" s="207" t="s">
        <v>224</v>
      </c>
      <c r="D104" s="221">
        <f>D98</f>
        <v>350</v>
      </c>
      <c r="E104" s="207">
        <f>D104*B104</f>
        <v>55650</v>
      </c>
      <c r="F104" s="207">
        <f>E104/'Financial Summary'!$E$3</f>
        <v>15163.487738419619</v>
      </c>
      <c r="G104" s="203">
        <v>446480</v>
      </c>
    </row>
    <row r="105" spans="1:7" x14ac:dyDescent="0.2">
      <c r="A105" s="211" t="s">
        <v>243</v>
      </c>
      <c r="B105" s="207">
        <f>'Area Schedule'!B29</f>
        <v>62</v>
      </c>
      <c r="C105" s="207" t="s">
        <v>224</v>
      </c>
      <c r="E105" s="207" t="s">
        <v>231</v>
      </c>
      <c r="F105" s="207" t="s">
        <v>231</v>
      </c>
      <c r="G105" s="203">
        <v>1004000</v>
      </c>
    </row>
    <row r="106" spans="1:7" x14ac:dyDescent="0.2">
      <c r="A106" s="211" t="s">
        <v>186</v>
      </c>
      <c r="B106" s="207">
        <f>'Area Schedule'!B26</f>
        <v>607</v>
      </c>
      <c r="C106" s="207" t="s">
        <v>224</v>
      </c>
      <c r="D106" s="221">
        <f>D100</f>
        <v>250</v>
      </c>
      <c r="E106" s="207">
        <f>D106*B106</f>
        <v>151750</v>
      </c>
      <c r="F106" s="207">
        <f>E106/'Financial Summary'!$E$3</f>
        <v>41348.773841961854</v>
      </c>
      <c r="G106" s="203">
        <v>4464800</v>
      </c>
    </row>
    <row r="107" spans="1:7" x14ac:dyDescent="0.2">
      <c r="A107" s="211" t="s">
        <v>245</v>
      </c>
      <c r="B107" s="207">
        <f>'Area Schedule'!B27</f>
        <v>674</v>
      </c>
      <c r="C107" s="207" t="s">
        <v>224</v>
      </c>
      <c r="D107" s="221">
        <v>1350</v>
      </c>
      <c r="E107" s="207">
        <f>D107*B107</f>
        <v>909900</v>
      </c>
      <c r="F107" s="207">
        <f>E107/'Financial Summary'!$E$3</f>
        <v>247929.15531335151</v>
      </c>
      <c r="G107" s="203">
        <v>641815</v>
      </c>
    </row>
    <row r="108" spans="1:7" x14ac:dyDescent="0.2">
      <c r="A108" s="211" t="s">
        <v>244</v>
      </c>
      <c r="B108" s="207">
        <f>'Area Schedule'!B28</f>
        <v>494</v>
      </c>
      <c r="C108" s="207" t="s">
        <v>224</v>
      </c>
      <c r="D108" s="221">
        <f>1650</f>
        <v>1650</v>
      </c>
      <c r="E108" s="207">
        <f>D108*B108</f>
        <v>815100</v>
      </c>
      <c r="F108" s="207">
        <f>E108/'Financial Summary'!$E$3</f>
        <v>222098.09264305179</v>
      </c>
      <c r="G108" s="203">
        <v>4883375</v>
      </c>
    </row>
    <row r="109" spans="1:7" x14ac:dyDescent="0.2">
      <c r="A109" s="206" t="s">
        <v>242</v>
      </c>
      <c r="G109" s="203">
        <v>111620</v>
      </c>
    </row>
    <row r="110" spans="1:7" x14ac:dyDescent="0.2">
      <c r="A110" s="213" t="s">
        <v>241</v>
      </c>
      <c r="G110" s="203">
        <v>1953350</v>
      </c>
    </row>
    <row r="111" spans="1:7" x14ac:dyDescent="0.2">
      <c r="A111" s="212" t="s">
        <v>240</v>
      </c>
      <c r="G111" s="203">
        <f>SUM(G102:G110)/5581</f>
        <v>2569.896075972048</v>
      </c>
    </row>
    <row r="112" spans="1:7" x14ac:dyDescent="0.2">
      <c r="A112" s="211" t="s">
        <v>239</v>
      </c>
      <c r="B112" s="207">
        <f>B87+B96+B102</f>
        <v>1567</v>
      </c>
      <c r="C112" s="207" t="s">
        <v>224</v>
      </c>
      <c r="D112" s="221">
        <v>350</v>
      </c>
      <c r="E112" s="207">
        <f t="shared" ref="E112:E118" si="3">D112*B112</f>
        <v>548450</v>
      </c>
      <c r="F112" s="207">
        <f>E112/'Financial Summary'!$E$3</f>
        <v>149441.41689373297</v>
      </c>
    </row>
    <row r="113" spans="1:7" x14ac:dyDescent="0.2">
      <c r="A113" s="211" t="s">
        <v>238</v>
      </c>
      <c r="B113" s="207">
        <f>B88</f>
        <v>997</v>
      </c>
      <c r="C113" s="207" t="s">
        <v>224</v>
      </c>
      <c r="D113" s="221">
        <v>750</v>
      </c>
      <c r="E113" s="207">
        <f t="shared" si="3"/>
        <v>747750</v>
      </c>
      <c r="F113" s="207">
        <f>E113/'Financial Summary'!$E$3</f>
        <v>203746.59400544959</v>
      </c>
      <c r="G113" s="203">
        <v>132280</v>
      </c>
    </row>
    <row r="114" spans="1:7" x14ac:dyDescent="0.2">
      <c r="A114" s="211" t="s">
        <v>237</v>
      </c>
      <c r="B114" s="207">
        <f>B89+B97+B103</f>
        <v>432</v>
      </c>
      <c r="C114" s="207" t="s">
        <v>224</v>
      </c>
      <c r="D114" s="221">
        <v>900</v>
      </c>
      <c r="E114" s="207">
        <f t="shared" si="3"/>
        <v>388800</v>
      </c>
      <c r="F114" s="207">
        <f>E114/'Financial Summary'!$E$3</f>
        <v>105940.0544959128</v>
      </c>
    </row>
    <row r="115" spans="1:7" x14ac:dyDescent="0.2">
      <c r="A115" s="211" t="s">
        <v>236</v>
      </c>
      <c r="B115" s="207">
        <f>B90</f>
        <v>170</v>
      </c>
      <c r="C115" s="207" t="s">
        <v>224</v>
      </c>
      <c r="D115" s="221">
        <v>500</v>
      </c>
      <c r="E115" s="207">
        <f t="shared" si="3"/>
        <v>85000</v>
      </c>
      <c r="F115" s="207">
        <f>E115/'Financial Summary'!$E$3</f>
        <v>23160.762942779293</v>
      </c>
      <c r="G115" s="203">
        <v>33220</v>
      </c>
    </row>
    <row r="116" spans="1:7" x14ac:dyDescent="0.2">
      <c r="A116" s="211" t="s">
        <v>235</v>
      </c>
      <c r="B116" s="207">
        <f>B91+B98+B104</f>
        <v>896</v>
      </c>
      <c r="C116" s="207" t="s">
        <v>224</v>
      </c>
      <c r="D116" s="221">
        <v>250</v>
      </c>
      <c r="E116" s="207">
        <f t="shared" si="3"/>
        <v>224000</v>
      </c>
      <c r="F116" s="207">
        <f>E116/'Financial Summary'!$E$3</f>
        <v>61035.422343324251</v>
      </c>
      <c r="G116" s="203">
        <v>1661000</v>
      </c>
    </row>
    <row r="117" spans="1:7" x14ac:dyDescent="0.2">
      <c r="A117" s="211" t="s">
        <v>234</v>
      </c>
      <c r="B117" s="207">
        <f>B93+B94+B100+B106</f>
        <v>3236</v>
      </c>
      <c r="C117" s="207" t="s">
        <v>224</v>
      </c>
      <c r="D117" s="221">
        <v>150</v>
      </c>
      <c r="E117" s="207">
        <f t="shared" si="3"/>
        <v>485400</v>
      </c>
      <c r="F117" s="207">
        <f>E117/'Financial Summary'!$E$3</f>
        <v>132261.5803814714</v>
      </c>
      <c r="G117" s="203">
        <v>2325400</v>
      </c>
    </row>
    <row r="118" spans="1:7" x14ac:dyDescent="0.2">
      <c r="A118" s="211" t="s">
        <v>226</v>
      </c>
      <c r="B118" s="207">
        <f>B107+B108</f>
        <v>1168</v>
      </c>
      <c r="C118" s="207" t="s">
        <v>224</v>
      </c>
      <c r="D118" s="221">
        <v>850</v>
      </c>
      <c r="E118" s="207">
        <f t="shared" si="3"/>
        <v>992800</v>
      </c>
      <c r="F118" s="207">
        <f>E118/'Financial Summary'!$E$3</f>
        <v>270517.71117166214</v>
      </c>
      <c r="G118" s="203">
        <v>265760</v>
      </c>
    </row>
    <row r="119" spans="1:7" x14ac:dyDescent="0.2">
      <c r="A119" s="212" t="s">
        <v>233</v>
      </c>
      <c r="G119" s="203">
        <v>66440</v>
      </c>
    </row>
    <row r="120" spans="1:7" x14ac:dyDescent="0.2">
      <c r="A120" s="211" t="s">
        <v>232</v>
      </c>
      <c r="B120" s="221">
        <v>1</v>
      </c>
      <c r="C120" s="207" t="s">
        <v>229</v>
      </c>
      <c r="E120" s="207" t="s">
        <v>231</v>
      </c>
      <c r="F120" s="207" t="s">
        <v>231</v>
      </c>
      <c r="G120" s="203">
        <v>664400</v>
      </c>
    </row>
    <row r="121" spans="1:7" x14ac:dyDescent="0.2">
      <c r="A121" s="211" t="s">
        <v>230</v>
      </c>
      <c r="B121" s="221">
        <v>1</v>
      </c>
      <c r="C121" s="207" t="s">
        <v>229</v>
      </c>
      <c r="D121" s="221">
        <v>2000000</v>
      </c>
      <c r="E121" s="207">
        <f>D121*B121</f>
        <v>2000000</v>
      </c>
      <c r="F121" s="207">
        <f>E121/'Financial Summary'!$E$3</f>
        <v>544959.12806539505</v>
      </c>
      <c r="G121" s="203">
        <f>SUM(G113:G120)/3322</f>
        <v>1549.8193859121011</v>
      </c>
    </row>
    <row r="122" spans="1:7" x14ac:dyDescent="0.2">
      <c r="A122" s="206" t="s">
        <v>228</v>
      </c>
    </row>
    <row r="123" spans="1:7" x14ac:dyDescent="0.2">
      <c r="A123" s="211" t="s">
        <v>227</v>
      </c>
      <c r="B123" s="207">
        <f>SUM(B112:B116)</f>
        <v>4062</v>
      </c>
      <c r="C123" s="207" t="s">
        <v>224</v>
      </c>
      <c r="D123" s="207">
        <v>2750</v>
      </c>
      <c r="E123" s="207">
        <f>D123*B123</f>
        <v>11170500</v>
      </c>
      <c r="F123" s="207">
        <f>E123/'Financial Summary'!$E$3</f>
        <v>3043732.9700272479</v>
      </c>
    </row>
    <row r="124" spans="1:7" x14ac:dyDescent="0.2">
      <c r="A124" s="211" t="s">
        <v>226</v>
      </c>
      <c r="B124" s="207">
        <f>B118</f>
        <v>1168</v>
      </c>
      <c r="C124" s="207" t="s">
        <v>224</v>
      </c>
      <c r="D124" s="207">
        <v>2750</v>
      </c>
      <c r="E124" s="207">
        <f>D124*B124</f>
        <v>3212000</v>
      </c>
      <c r="F124" s="207">
        <f>E124/'Financial Summary'!$E$3</f>
        <v>875204.3596730245</v>
      </c>
    </row>
    <row r="125" spans="1:7" x14ac:dyDescent="0.2">
      <c r="A125" s="211" t="s">
        <v>225</v>
      </c>
      <c r="B125" s="207">
        <f>B117</f>
        <v>3236</v>
      </c>
      <c r="C125" s="207" t="s">
        <v>224</v>
      </c>
      <c r="D125" s="207">
        <v>1500</v>
      </c>
      <c r="E125" s="207">
        <f>D125*B125</f>
        <v>4854000</v>
      </c>
      <c r="F125" s="207">
        <f>E125/'Financial Summary'!$E$3</f>
        <v>1322615.8038147138</v>
      </c>
    </row>
    <row r="127" spans="1:7" x14ac:dyDescent="0.2">
      <c r="A127" s="210" t="s">
        <v>315</v>
      </c>
      <c r="B127" s="209"/>
      <c r="C127" s="209"/>
      <c r="D127" s="209"/>
      <c r="E127" s="208">
        <f>SUM(E45:E126)</f>
        <v>53812225</v>
      </c>
      <c r="F127" s="208">
        <f>SUM(F45:F126)</f>
        <v>14662731.607629426</v>
      </c>
    </row>
    <row r="129" spans="1:6" ht="16" x14ac:dyDescent="0.2">
      <c r="A129" s="206" t="s">
        <v>313</v>
      </c>
      <c r="B129" s="231">
        <v>1</v>
      </c>
      <c r="C129" s="91" t="s">
        <v>229</v>
      </c>
      <c r="D129" s="231">
        <v>10000000</v>
      </c>
      <c r="E129" s="91">
        <f>D129*B129</f>
        <v>10000000</v>
      </c>
      <c r="F129" s="91">
        <f>E129/'Financial Summary'!$E$3</f>
        <v>2724795.6403269754</v>
      </c>
    </row>
    <row r="130" spans="1:6" ht="16" x14ac:dyDescent="0.2">
      <c r="A130" s="206" t="s">
        <v>314</v>
      </c>
      <c r="B130" s="231">
        <v>14000</v>
      </c>
      <c r="C130" s="91" t="s">
        <v>224</v>
      </c>
      <c r="D130" s="231">
        <v>550</v>
      </c>
      <c r="E130" s="91">
        <f>D130*B130</f>
        <v>7700000</v>
      </c>
      <c r="F130" s="91">
        <f>E130/'Financial Summary'!$E$3</f>
        <v>2098092.643051771</v>
      </c>
    </row>
    <row r="132" spans="1:6" x14ac:dyDescent="0.2">
      <c r="A132" s="210" t="s">
        <v>316</v>
      </c>
      <c r="B132" s="209"/>
      <c r="C132" s="209"/>
      <c r="D132" s="209"/>
      <c r="E132" s="208">
        <f>SUM(E127:E131)</f>
        <v>71512225</v>
      </c>
      <c r="F132" s="208">
        <f>SUM(F127:F131)</f>
        <v>19485619.891008172</v>
      </c>
    </row>
    <row r="134" spans="1:6" ht="16" x14ac:dyDescent="0.2">
      <c r="A134" s="203" t="s">
        <v>311</v>
      </c>
      <c r="B134" s="229">
        <v>8.5000000000000006E-2</v>
      </c>
      <c r="E134" s="91">
        <f>B134*E132</f>
        <v>6078539.125</v>
      </c>
      <c r="F134" s="91">
        <f>E134/'Financial Summary'!$E$3</f>
        <v>1656277.690735695</v>
      </c>
    </row>
    <row r="136" spans="1:6" x14ac:dyDescent="0.2">
      <c r="A136" s="210" t="s">
        <v>317</v>
      </c>
      <c r="B136" s="209"/>
      <c r="C136" s="209"/>
      <c r="D136" s="209"/>
      <c r="E136" s="208">
        <f>SUM(E132:E135)</f>
        <v>77590764.125</v>
      </c>
      <c r="F136" s="208">
        <f>SUM(F132:F135)</f>
        <v>21141897.581743866</v>
      </c>
    </row>
    <row r="138" spans="1:6" ht="16" x14ac:dyDescent="0.2">
      <c r="A138" s="203" t="s">
        <v>319</v>
      </c>
      <c r="B138" s="229">
        <v>0.15</v>
      </c>
      <c r="E138" s="91">
        <f>B138*E136</f>
        <v>11638614.61875</v>
      </c>
      <c r="F138" s="91">
        <f>E138/'Financial Summary'!$E$3</f>
        <v>3171284.6372615807</v>
      </c>
    </row>
    <row r="139" spans="1:6" ht="16" x14ac:dyDescent="0.2">
      <c r="B139" s="323"/>
      <c r="E139" s="91"/>
      <c r="F139" s="91"/>
    </row>
    <row r="140" spans="1:6" ht="16" x14ac:dyDescent="0.2">
      <c r="A140" s="325" t="s">
        <v>384</v>
      </c>
      <c r="E140" s="91">
        <f>B141*E136</f>
        <v>-81470302.331249997</v>
      </c>
      <c r="F140" s="91"/>
    </row>
    <row r="141" spans="1:6" x14ac:dyDescent="0.2">
      <c r="B141" s="324">
        <v>-1.05</v>
      </c>
    </row>
    <row r="142" spans="1:6" x14ac:dyDescent="0.2">
      <c r="A142" s="210" t="s">
        <v>339</v>
      </c>
      <c r="B142" s="209"/>
      <c r="C142" s="209"/>
      <c r="D142" s="209"/>
      <c r="E142" s="208">
        <f>SUM(E136:E141)</f>
        <v>7759076.4125000089</v>
      </c>
      <c r="F142" s="208">
        <f>SUM(F136:F141)</f>
        <v>24313182.219005447</v>
      </c>
    </row>
    <row r="145" spans="1:6" x14ac:dyDescent="0.2">
      <c r="A145" s="224" t="s">
        <v>334</v>
      </c>
      <c r="B145" s="226" t="s">
        <v>295</v>
      </c>
      <c r="C145" s="226" t="s">
        <v>294</v>
      </c>
      <c r="D145" s="226" t="s">
        <v>293</v>
      </c>
      <c r="E145" s="226" t="s">
        <v>158</v>
      </c>
      <c r="F145" s="226" t="s">
        <v>158</v>
      </c>
    </row>
    <row r="147" spans="1:6" ht="16" x14ac:dyDescent="0.2">
      <c r="A147" s="203" t="s">
        <v>318</v>
      </c>
      <c r="B147" s="231">
        <v>1</v>
      </c>
      <c r="C147" s="91" t="s">
        <v>229</v>
      </c>
      <c r="D147" s="231">
        <v>13000000</v>
      </c>
      <c r="E147" s="91">
        <f>D147*B147</f>
        <v>13000000</v>
      </c>
      <c r="F147" s="91">
        <f>E147/'Financial Summary'!$E$3</f>
        <v>3542234.3324250681</v>
      </c>
    </row>
    <row r="148" spans="1:6" ht="16" x14ac:dyDescent="0.2">
      <c r="A148" s="222" t="s">
        <v>342</v>
      </c>
      <c r="E148" s="91"/>
      <c r="F148" s="91"/>
    </row>
    <row r="150" spans="1:6" x14ac:dyDescent="0.2">
      <c r="A150" s="210" t="s">
        <v>335</v>
      </c>
      <c r="B150" s="209"/>
      <c r="C150" s="209"/>
      <c r="D150" s="209"/>
      <c r="E150" s="208">
        <f>SUM(E147:E149)</f>
        <v>13000000</v>
      </c>
      <c r="F150" s="208">
        <f>SUM(F147:F149)</f>
        <v>3542234.3324250681</v>
      </c>
    </row>
    <row r="152" spans="1:6" ht="16" x14ac:dyDescent="0.2">
      <c r="A152" s="2" t="s">
        <v>362</v>
      </c>
    </row>
    <row r="153" spans="1:6" ht="16" x14ac:dyDescent="0.2">
      <c r="A153" t="s">
        <v>363</v>
      </c>
    </row>
  </sheetData>
  <mergeCells count="1"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EB5E-38D8-41FC-B5C5-9C0BE40D8705}">
  <dimension ref="A1:F56"/>
  <sheetViews>
    <sheetView topLeftCell="A7" zoomScale="90" zoomScaleNormal="90" workbookViewId="0">
      <selection activeCell="D8" sqref="D8"/>
    </sheetView>
  </sheetViews>
  <sheetFormatPr baseColWidth="10" defaultColWidth="8.83203125" defaultRowHeight="16" x14ac:dyDescent="0.2"/>
  <cols>
    <col min="1" max="1" width="35.1640625" customWidth="1"/>
    <col min="2" max="2" width="17.6640625" style="321" customWidth="1"/>
    <col min="3" max="3" width="33.6640625" style="321" customWidth="1"/>
    <col min="4" max="4" width="20.33203125" style="321" customWidth="1"/>
    <col min="5" max="5" width="21.33203125" style="95" customWidth="1"/>
    <col min="6" max="6" width="27" style="95" customWidth="1"/>
  </cols>
  <sheetData>
    <row r="1" spans="1:6" s="243" customFormat="1" ht="24" x14ac:dyDescent="0.3">
      <c r="A1" s="242" t="s">
        <v>385</v>
      </c>
      <c r="E1" s="336">
        <f>'Financial Summary'!M1</f>
        <v>45135</v>
      </c>
      <c r="F1" s="336"/>
    </row>
    <row r="2" spans="1:6" x14ac:dyDescent="0.2">
      <c r="B2"/>
      <c r="C2"/>
      <c r="D2"/>
      <c r="F2"/>
    </row>
    <row r="3" spans="1:6" ht="17" customHeight="1" x14ac:dyDescent="0.2">
      <c r="A3" s="13" t="s">
        <v>151</v>
      </c>
      <c r="B3"/>
      <c r="C3" s="4"/>
      <c r="D3" s="4"/>
      <c r="E3" s="339"/>
      <c r="F3" s="4"/>
    </row>
    <row r="4" spans="1:6" ht="17" thickBot="1" x14ac:dyDescent="0.25">
      <c r="A4" s="95"/>
      <c r="C4"/>
      <c r="D4"/>
      <c r="F4"/>
    </row>
    <row r="5" spans="1:6" x14ac:dyDescent="0.2">
      <c r="A5" s="315" t="s">
        <v>386</v>
      </c>
      <c r="B5" s="55" t="s">
        <v>387</v>
      </c>
      <c r="C5" s="55" t="s">
        <v>388</v>
      </c>
      <c r="D5" s="55" t="s">
        <v>390</v>
      </c>
      <c r="E5" s="313" t="s">
        <v>393</v>
      </c>
      <c r="F5" s="314" t="s">
        <v>394</v>
      </c>
    </row>
    <row r="6" spans="1:6" x14ac:dyDescent="0.2">
      <c r="A6" s="56"/>
      <c r="B6" s="338" t="s">
        <v>392</v>
      </c>
      <c r="C6" s="57"/>
      <c r="D6" s="338" t="s">
        <v>95</v>
      </c>
      <c r="E6" s="338" t="s">
        <v>95</v>
      </c>
      <c r="F6" s="340"/>
    </row>
    <row r="7" spans="1:6" x14ac:dyDescent="0.2">
      <c r="A7" s="337" t="s">
        <v>389</v>
      </c>
      <c r="B7" s="244">
        <v>85</v>
      </c>
      <c r="C7" s="341" t="s">
        <v>417</v>
      </c>
      <c r="D7" s="343">
        <v>1400</v>
      </c>
      <c r="E7" s="61">
        <f>SUM(B7*D7)</f>
        <v>119000</v>
      </c>
      <c r="F7" s="344"/>
    </row>
    <row r="8" spans="1:6" ht="16.5" customHeight="1" x14ac:dyDescent="0.2">
      <c r="A8" s="337" t="s">
        <v>391</v>
      </c>
      <c r="B8" s="244">
        <v>25</v>
      </c>
      <c r="C8" s="341" t="s">
        <v>418</v>
      </c>
      <c r="D8" s="343">
        <v>1500</v>
      </c>
      <c r="E8" s="61">
        <f t="shared" ref="E8:E31" si="0">SUM(B8*D8)</f>
        <v>37500</v>
      </c>
      <c r="F8" s="344"/>
    </row>
    <row r="9" spans="1:6" ht="16.5" customHeight="1" x14ac:dyDescent="0.2">
      <c r="A9" s="337" t="s">
        <v>415</v>
      </c>
      <c r="B9" s="244">
        <v>20</v>
      </c>
      <c r="C9" s="341" t="s">
        <v>418</v>
      </c>
      <c r="D9" s="343"/>
      <c r="E9" s="61"/>
      <c r="F9" s="344"/>
    </row>
    <row r="10" spans="1:6" ht="16.5" customHeight="1" x14ac:dyDescent="0.2">
      <c r="A10" s="337" t="s">
        <v>416</v>
      </c>
      <c r="B10" s="244">
        <v>10</v>
      </c>
      <c r="C10" s="341" t="s">
        <v>418</v>
      </c>
      <c r="D10" s="343"/>
      <c r="E10" s="61"/>
      <c r="F10" s="344"/>
    </row>
    <row r="11" spans="1:6" ht="16.5" customHeight="1" x14ac:dyDescent="0.2">
      <c r="A11" s="337" t="s">
        <v>419</v>
      </c>
      <c r="B11" s="244" t="s">
        <v>420</v>
      </c>
      <c r="C11" s="341" t="s">
        <v>421</v>
      </c>
      <c r="D11" s="343"/>
      <c r="E11" s="61"/>
      <c r="F11" s="344"/>
    </row>
    <row r="12" spans="1:6" x14ac:dyDescent="0.2">
      <c r="A12" s="337" t="s">
        <v>395</v>
      </c>
      <c r="B12" s="244">
        <v>85</v>
      </c>
      <c r="C12" s="341"/>
      <c r="D12" s="343"/>
      <c r="E12" s="61">
        <f t="shared" si="0"/>
        <v>0</v>
      </c>
      <c r="F12" s="344"/>
    </row>
    <row r="13" spans="1:6" x14ac:dyDescent="0.2">
      <c r="A13" s="337" t="s">
        <v>396</v>
      </c>
      <c r="B13" s="244">
        <v>85</v>
      </c>
      <c r="C13" s="341"/>
      <c r="D13" s="343"/>
      <c r="E13" s="61">
        <f t="shared" si="0"/>
        <v>0</v>
      </c>
      <c r="F13" s="344"/>
    </row>
    <row r="14" spans="1:6" x14ac:dyDescent="0.2">
      <c r="A14" s="337" t="s">
        <v>397</v>
      </c>
      <c r="B14" s="244">
        <v>85</v>
      </c>
      <c r="C14" s="341"/>
      <c r="D14" s="343"/>
      <c r="E14" s="61">
        <f t="shared" si="0"/>
        <v>0</v>
      </c>
      <c r="F14" s="344"/>
    </row>
    <row r="15" spans="1:6" x14ac:dyDescent="0.2">
      <c r="A15" s="337" t="s">
        <v>398</v>
      </c>
      <c r="B15" s="244">
        <v>85</v>
      </c>
      <c r="C15" s="341"/>
      <c r="D15" s="343"/>
      <c r="E15" s="61">
        <f t="shared" si="0"/>
        <v>0</v>
      </c>
      <c r="F15" s="344"/>
    </row>
    <row r="16" spans="1:6" x14ac:dyDescent="0.2">
      <c r="A16" s="337" t="s">
        <v>399</v>
      </c>
      <c r="B16" s="244">
        <v>85</v>
      </c>
      <c r="C16" s="341"/>
      <c r="D16" s="343"/>
      <c r="E16" s="61">
        <f t="shared" si="0"/>
        <v>0</v>
      </c>
      <c r="F16" s="344"/>
    </row>
    <row r="17" spans="1:6" x14ac:dyDescent="0.2">
      <c r="A17" s="337" t="s">
        <v>400</v>
      </c>
      <c r="B17" s="244">
        <v>85</v>
      </c>
      <c r="C17" s="341"/>
      <c r="D17" s="343"/>
      <c r="E17" s="61">
        <f t="shared" si="0"/>
        <v>0</v>
      </c>
      <c r="F17" s="344"/>
    </row>
    <row r="18" spans="1:6" x14ac:dyDescent="0.2">
      <c r="A18" s="337" t="s">
        <v>401</v>
      </c>
      <c r="B18" s="244">
        <v>85</v>
      </c>
      <c r="C18" s="341"/>
      <c r="D18" s="343"/>
      <c r="E18" s="61">
        <f t="shared" si="0"/>
        <v>0</v>
      </c>
      <c r="F18" s="344"/>
    </row>
    <row r="19" spans="1:6" x14ac:dyDescent="0.2">
      <c r="A19" s="337" t="s">
        <v>402</v>
      </c>
      <c r="B19" s="244">
        <v>85</v>
      </c>
      <c r="C19" s="341"/>
      <c r="D19" s="343"/>
      <c r="E19" s="61">
        <f t="shared" si="0"/>
        <v>0</v>
      </c>
      <c r="F19" s="344"/>
    </row>
    <row r="20" spans="1:6" x14ac:dyDescent="0.2">
      <c r="A20" s="337" t="s">
        <v>403</v>
      </c>
      <c r="B20" s="244">
        <v>85</v>
      </c>
      <c r="C20" s="341"/>
      <c r="D20" s="343"/>
      <c r="E20" s="61">
        <f t="shared" si="0"/>
        <v>0</v>
      </c>
      <c r="F20" s="344"/>
    </row>
    <row r="21" spans="1:6" x14ac:dyDescent="0.2">
      <c r="A21" s="337" t="s">
        <v>404</v>
      </c>
      <c r="B21" s="244">
        <v>85</v>
      </c>
      <c r="C21" s="341"/>
      <c r="D21" s="343"/>
      <c r="E21" s="61">
        <f t="shared" si="0"/>
        <v>0</v>
      </c>
      <c r="F21" s="344"/>
    </row>
    <row r="22" spans="1:6" x14ac:dyDescent="0.2">
      <c r="A22" s="337" t="s">
        <v>405</v>
      </c>
      <c r="B22" s="244">
        <v>85</v>
      </c>
      <c r="C22" s="341"/>
      <c r="D22" s="343"/>
      <c r="E22" s="61">
        <f t="shared" si="0"/>
        <v>0</v>
      </c>
      <c r="F22" s="344"/>
    </row>
    <row r="23" spans="1:6" x14ac:dyDescent="0.2">
      <c r="A23" t="s">
        <v>406</v>
      </c>
      <c r="B23" s="346">
        <v>85</v>
      </c>
      <c r="D23" s="346"/>
      <c r="E23" s="95">
        <f t="shared" si="0"/>
        <v>0</v>
      </c>
    </row>
    <row r="24" spans="1:6" x14ac:dyDescent="0.2">
      <c r="A24" t="s">
        <v>407</v>
      </c>
      <c r="B24" s="346">
        <v>85</v>
      </c>
      <c r="D24" s="346"/>
      <c r="E24" s="95">
        <f t="shared" si="0"/>
        <v>0</v>
      </c>
    </row>
    <row r="25" spans="1:6" x14ac:dyDescent="0.2">
      <c r="A25" t="s">
        <v>408</v>
      </c>
      <c r="B25" s="346">
        <v>85</v>
      </c>
      <c r="D25" s="346"/>
      <c r="E25" s="95">
        <f t="shared" si="0"/>
        <v>0</v>
      </c>
    </row>
    <row r="26" spans="1:6" x14ac:dyDescent="0.2">
      <c r="A26" t="s">
        <v>409</v>
      </c>
      <c r="B26" s="346">
        <v>85</v>
      </c>
      <c r="D26" s="346"/>
      <c r="E26" s="95">
        <f t="shared" si="0"/>
        <v>0</v>
      </c>
    </row>
    <row r="27" spans="1:6" x14ac:dyDescent="0.2">
      <c r="A27" t="s">
        <v>410</v>
      </c>
      <c r="B27" s="346">
        <v>85</v>
      </c>
      <c r="D27" s="346"/>
      <c r="E27" s="95">
        <f t="shared" si="0"/>
        <v>0</v>
      </c>
    </row>
    <row r="28" spans="1:6" x14ac:dyDescent="0.2">
      <c r="A28" t="s">
        <v>411</v>
      </c>
      <c r="B28" s="346">
        <v>85</v>
      </c>
      <c r="D28" s="346"/>
      <c r="E28" s="95">
        <f t="shared" si="0"/>
        <v>0</v>
      </c>
    </row>
    <row r="29" spans="1:6" x14ac:dyDescent="0.2">
      <c r="A29" t="s">
        <v>412</v>
      </c>
      <c r="B29" s="346">
        <v>85</v>
      </c>
      <c r="D29" s="346"/>
      <c r="E29" s="95">
        <f t="shared" si="0"/>
        <v>0</v>
      </c>
    </row>
    <row r="30" spans="1:6" x14ac:dyDescent="0.2">
      <c r="A30" t="s">
        <v>413</v>
      </c>
      <c r="B30" s="346">
        <v>85</v>
      </c>
      <c r="D30" s="346"/>
      <c r="E30" s="95">
        <f t="shared" si="0"/>
        <v>0</v>
      </c>
    </row>
    <row r="31" spans="1:6" x14ac:dyDescent="0.2">
      <c r="A31" t="s">
        <v>414</v>
      </c>
      <c r="B31" s="346">
        <v>85</v>
      </c>
      <c r="D31" s="346"/>
      <c r="E31" s="95">
        <f t="shared" si="0"/>
        <v>0</v>
      </c>
    </row>
    <row r="32" spans="1:6" x14ac:dyDescent="0.2">
      <c r="B32" s="346"/>
      <c r="D32" s="346"/>
    </row>
    <row r="33" spans="1:6" x14ac:dyDescent="0.2">
      <c r="B33" s="346"/>
      <c r="D33" s="346"/>
    </row>
    <row r="34" spans="1:6" x14ac:dyDescent="0.2">
      <c r="B34" s="346"/>
      <c r="D34" s="346"/>
    </row>
    <row r="35" spans="1:6" x14ac:dyDescent="0.2">
      <c r="B35" s="346"/>
      <c r="D35" s="346"/>
    </row>
    <row r="36" spans="1:6" x14ac:dyDescent="0.2">
      <c r="B36" s="346"/>
      <c r="D36" s="346"/>
    </row>
    <row r="37" spans="1:6" x14ac:dyDescent="0.2">
      <c r="B37" s="346"/>
      <c r="D37" s="346"/>
    </row>
    <row r="38" spans="1:6" x14ac:dyDescent="0.2">
      <c r="B38" s="346"/>
      <c r="D38" s="346"/>
    </row>
    <row r="39" spans="1:6" ht="17" thickBot="1" x14ac:dyDescent="0.25">
      <c r="A39" s="28" t="s">
        <v>62</v>
      </c>
      <c r="B39" s="64">
        <f>SUM(B7:B31)</f>
        <v>1840</v>
      </c>
      <c r="C39" s="65"/>
      <c r="D39" s="29" t="e">
        <f>E39/B39/$C59</f>
        <v>#DIV/0!</v>
      </c>
      <c r="E39" s="29">
        <f>SUM(E7:E31)</f>
        <v>156500</v>
      </c>
      <c r="F39" s="342"/>
    </row>
    <row r="45" spans="1:6" x14ac:dyDescent="0.2">
      <c r="D45" s="370" t="s">
        <v>382</v>
      </c>
      <c r="E45" s="370"/>
    </row>
    <row r="46" spans="1:6" x14ac:dyDescent="0.2">
      <c r="E46" s="95" t="s">
        <v>96</v>
      </c>
      <c r="F46" s="95" t="s">
        <v>95</v>
      </c>
    </row>
    <row r="47" spans="1:6" x14ac:dyDescent="0.2">
      <c r="B47" s="321" t="s">
        <v>373</v>
      </c>
      <c r="C47" s="321" t="s">
        <v>374</v>
      </c>
      <c r="D47" s="322"/>
      <c r="E47" s="371">
        <v>300000</v>
      </c>
      <c r="F47" s="371" t="e">
        <f>SUM(#REF!*'Financial Summary'!E3)</f>
        <v>#REF!</v>
      </c>
    </row>
    <row r="48" spans="1:6" x14ac:dyDescent="0.2">
      <c r="B48" s="321" t="s">
        <v>375</v>
      </c>
      <c r="C48" s="321" t="s">
        <v>376</v>
      </c>
      <c r="D48" s="322"/>
      <c r="E48" s="371"/>
      <c r="F48" s="371"/>
    </row>
    <row r="49" spans="2:6" x14ac:dyDescent="0.2">
      <c r="B49" s="321" t="s">
        <v>377</v>
      </c>
      <c r="C49" s="321" t="s">
        <v>378</v>
      </c>
      <c r="D49" s="322"/>
      <c r="E49" s="371"/>
      <c r="F49" s="371"/>
    </row>
    <row r="50" spans="2:6" x14ac:dyDescent="0.2">
      <c r="B50" s="321" t="s">
        <v>379</v>
      </c>
      <c r="C50" s="321" t="s">
        <v>380</v>
      </c>
      <c r="D50" s="321" t="s">
        <v>381</v>
      </c>
      <c r="E50" s="91">
        <v>2800000</v>
      </c>
      <c r="F50" s="91" t="e">
        <f>SUM(#REF!*'Financial Summary'!E3)</f>
        <v>#REF!</v>
      </c>
    </row>
    <row r="51" spans="2:6" x14ac:dyDescent="0.2">
      <c r="E51" s="91"/>
      <c r="F51" s="91"/>
    </row>
    <row r="52" spans="2:6" x14ac:dyDescent="0.2">
      <c r="C52" s="321" t="s">
        <v>383</v>
      </c>
      <c r="E52" s="91"/>
      <c r="F52" s="91"/>
    </row>
    <row r="53" spans="2:6" x14ac:dyDescent="0.2">
      <c r="E53" s="91"/>
      <c r="F53" s="91"/>
    </row>
    <row r="54" spans="2:6" x14ac:dyDescent="0.2">
      <c r="E54" s="91">
        <v>650000</v>
      </c>
      <c r="F54" s="91"/>
    </row>
    <row r="55" spans="2:6" x14ac:dyDescent="0.2">
      <c r="E55" s="91"/>
      <c r="F55" s="91"/>
    </row>
    <row r="56" spans="2:6" x14ac:dyDescent="0.2">
      <c r="E56" s="91">
        <f>SUM(E50+E54)</f>
        <v>3450000</v>
      </c>
      <c r="F56" s="91"/>
    </row>
  </sheetData>
  <mergeCells count="3">
    <mergeCell ref="D45:E45"/>
    <mergeCell ref="E47:E49"/>
    <mergeCell ref="F47:F49"/>
  </mergeCells>
  <phoneticPr fontId="1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0C11-CF98-2842-B7B8-384C088F0728}">
  <dimension ref="A1:D40"/>
  <sheetViews>
    <sheetView zoomScale="140" zoomScaleNormal="140" workbookViewId="0">
      <selection activeCell="F7" sqref="F7"/>
    </sheetView>
  </sheetViews>
  <sheetFormatPr baseColWidth="10" defaultColWidth="8.83203125" defaultRowHeight="15" x14ac:dyDescent="0.2"/>
  <cols>
    <col min="1" max="1" width="35.6640625" style="203" bestFit="1" customWidth="1"/>
    <col min="2" max="2" width="8.83203125" style="204"/>
    <col min="3" max="3" width="9.33203125" style="203" bestFit="1" customWidth="1"/>
    <col min="4" max="16384" width="8.83203125" style="203"/>
  </cols>
  <sheetData>
    <row r="1" spans="1:4" ht="16" customHeight="1" x14ac:dyDescent="0.2">
      <c r="A1" s="285" t="s">
        <v>364</v>
      </c>
      <c r="B1" s="372">
        <f>'Financial Summary'!M1</f>
        <v>45135</v>
      </c>
      <c r="C1" s="372"/>
    </row>
    <row r="2" spans="1:4" x14ac:dyDescent="0.2">
      <c r="D2" s="203" t="s">
        <v>94</v>
      </c>
    </row>
    <row r="3" spans="1:4" x14ac:dyDescent="0.2">
      <c r="A3" s="203" t="s">
        <v>297</v>
      </c>
      <c r="B3" s="214">
        <v>10.763999999999999</v>
      </c>
    </row>
    <row r="5" spans="1:4" ht="16" thickBot="1" x14ac:dyDescent="0.25">
      <c r="A5" s="202" t="s">
        <v>206</v>
      </c>
      <c r="B5" s="216" t="s">
        <v>298</v>
      </c>
      <c r="C5" s="216" t="s">
        <v>299</v>
      </c>
    </row>
    <row r="6" spans="1:4" x14ac:dyDescent="0.2">
      <c r="A6" s="203" t="s">
        <v>207</v>
      </c>
      <c r="B6" s="217">
        <v>647</v>
      </c>
      <c r="C6" s="217">
        <f t="shared" ref="C6:C13" si="0">B6*$B$3</f>
        <v>6964.308</v>
      </c>
    </row>
    <row r="7" spans="1:4" x14ac:dyDescent="0.2">
      <c r="A7" s="203" t="s">
        <v>208</v>
      </c>
      <c r="B7" s="217">
        <v>997</v>
      </c>
      <c r="C7" s="217">
        <f t="shared" si="0"/>
        <v>10731.707999999999</v>
      </c>
    </row>
    <row r="8" spans="1:4" x14ac:dyDescent="0.2">
      <c r="A8" s="203" t="s">
        <v>209</v>
      </c>
      <c r="B8" s="217">
        <v>144</v>
      </c>
      <c r="C8" s="217">
        <f t="shared" si="0"/>
        <v>1550.0159999999998</v>
      </c>
    </row>
    <row r="9" spans="1:4" x14ac:dyDescent="0.2">
      <c r="A9" s="203" t="s">
        <v>211</v>
      </c>
      <c r="B9" s="217">
        <v>170</v>
      </c>
      <c r="C9" s="217">
        <f t="shared" si="0"/>
        <v>1829.8799999999999</v>
      </c>
    </row>
    <row r="10" spans="1:4" x14ac:dyDescent="0.2">
      <c r="A10" s="203" t="s">
        <v>212</v>
      </c>
      <c r="B10" s="217">
        <v>578</v>
      </c>
      <c r="C10" s="217">
        <f>B10*$B$3</f>
        <v>6221.5919999999996</v>
      </c>
    </row>
    <row r="11" spans="1:4" x14ac:dyDescent="0.2">
      <c r="A11" s="203" t="s">
        <v>213</v>
      </c>
      <c r="B11" s="217">
        <v>62</v>
      </c>
      <c r="C11" s="217">
        <f>B11*$B$3</f>
        <v>667.36799999999994</v>
      </c>
    </row>
    <row r="12" spans="1:4" x14ac:dyDescent="0.2">
      <c r="A12" s="203" t="s">
        <v>210</v>
      </c>
      <c r="B12" s="217">
        <v>427</v>
      </c>
      <c r="C12" s="217">
        <f>B12*$B$3</f>
        <v>4596.2280000000001</v>
      </c>
    </row>
    <row r="13" spans="1:4" ht="16" thickBot="1" x14ac:dyDescent="0.25">
      <c r="A13" s="205" t="s">
        <v>300</v>
      </c>
      <c r="B13" s="218">
        <v>427</v>
      </c>
      <c r="C13" s="218">
        <f t="shared" si="0"/>
        <v>4596.2280000000001</v>
      </c>
    </row>
    <row r="14" spans="1:4" x14ac:dyDescent="0.2">
      <c r="B14" s="219">
        <f>SUM(B6:B13)</f>
        <v>3452</v>
      </c>
      <c r="C14" s="219">
        <f>SUM(C6:C13)</f>
        <v>37157.328000000001</v>
      </c>
    </row>
    <row r="15" spans="1:4" ht="16" thickBot="1" x14ac:dyDescent="0.25">
      <c r="A15" s="202" t="s">
        <v>214</v>
      </c>
      <c r="B15" s="218"/>
      <c r="C15" s="218"/>
    </row>
    <row r="16" spans="1:4" x14ac:dyDescent="0.2">
      <c r="A16" s="203" t="s">
        <v>215</v>
      </c>
      <c r="B16" s="217">
        <v>460</v>
      </c>
      <c r="C16" s="217">
        <f t="shared" ref="C16:C20" si="1">B16*$B$3</f>
        <v>4951.4399999999996</v>
      </c>
    </row>
    <row r="17" spans="1:3" x14ac:dyDescent="0.2">
      <c r="A17" s="203" t="s">
        <v>209</v>
      </c>
      <c r="B17" s="217">
        <v>144</v>
      </c>
      <c r="C17" s="217">
        <f t="shared" si="1"/>
        <v>1550.0159999999998</v>
      </c>
    </row>
    <row r="18" spans="1:3" x14ac:dyDescent="0.2">
      <c r="A18" s="203" t="s">
        <v>212</v>
      </c>
      <c r="B18" s="217">
        <v>159</v>
      </c>
      <c r="C18" s="217">
        <f t="shared" si="1"/>
        <v>1711.4759999999999</v>
      </c>
    </row>
    <row r="19" spans="1:3" x14ac:dyDescent="0.2">
      <c r="A19" s="203" t="s">
        <v>216</v>
      </c>
      <c r="B19" s="217">
        <v>1775</v>
      </c>
      <c r="C19" s="217">
        <f t="shared" si="1"/>
        <v>19106.099999999999</v>
      </c>
    </row>
    <row r="20" spans="1:3" ht="16" thickBot="1" x14ac:dyDescent="0.25">
      <c r="A20" s="205" t="s">
        <v>213</v>
      </c>
      <c r="B20" s="218">
        <v>62</v>
      </c>
      <c r="C20" s="218">
        <f t="shared" si="1"/>
        <v>667.36799999999994</v>
      </c>
    </row>
    <row r="21" spans="1:3" x14ac:dyDescent="0.2">
      <c r="B21" s="219">
        <f>SUM(B16:B20)</f>
        <v>2600</v>
      </c>
      <c r="C21" s="219">
        <f>SUM(C16:C20)</f>
        <v>27986.399999999998</v>
      </c>
    </row>
    <row r="22" spans="1:3" ht="16" thickBot="1" x14ac:dyDescent="0.25">
      <c r="A22" s="202" t="s">
        <v>217</v>
      </c>
      <c r="B22" s="218"/>
      <c r="C22" s="218"/>
    </row>
    <row r="23" spans="1:3" x14ac:dyDescent="0.2">
      <c r="A23" s="203" t="s">
        <v>215</v>
      </c>
      <c r="B23" s="217">
        <v>460</v>
      </c>
      <c r="C23" s="217">
        <f t="shared" ref="C23:C29" si="2">B23*$B$3</f>
        <v>4951.4399999999996</v>
      </c>
    </row>
    <row r="24" spans="1:3" x14ac:dyDescent="0.2">
      <c r="A24" s="203" t="s">
        <v>209</v>
      </c>
      <c r="B24" s="217">
        <v>144</v>
      </c>
      <c r="C24" s="217">
        <f t="shared" si="2"/>
        <v>1550.0159999999998</v>
      </c>
    </row>
    <row r="25" spans="1:3" x14ac:dyDescent="0.2">
      <c r="A25" s="203" t="s">
        <v>212</v>
      </c>
      <c r="B25" s="217">
        <v>159</v>
      </c>
      <c r="C25" s="217">
        <f t="shared" si="2"/>
        <v>1711.4759999999999</v>
      </c>
    </row>
    <row r="26" spans="1:3" x14ac:dyDescent="0.2">
      <c r="A26" s="203" t="s">
        <v>218</v>
      </c>
      <c r="B26" s="217">
        <v>607</v>
      </c>
      <c r="C26" s="217">
        <f t="shared" si="2"/>
        <v>6533.7479999999996</v>
      </c>
    </row>
    <row r="27" spans="1:3" x14ac:dyDescent="0.2">
      <c r="A27" s="203" t="s">
        <v>219</v>
      </c>
      <c r="B27" s="217">
        <v>674</v>
      </c>
      <c r="C27" s="217">
        <f t="shared" si="2"/>
        <v>7254.9359999999997</v>
      </c>
    </row>
    <row r="28" spans="1:3" x14ac:dyDescent="0.2">
      <c r="A28" s="203" t="s">
        <v>220</v>
      </c>
      <c r="B28" s="217">
        <v>494</v>
      </c>
      <c r="C28" s="217">
        <f t="shared" si="2"/>
        <v>5317.4159999999993</v>
      </c>
    </row>
    <row r="29" spans="1:3" ht="16" thickBot="1" x14ac:dyDescent="0.25">
      <c r="A29" s="205" t="s">
        <v>213</v>
      </c>
      <c r="B29" s="218">
        <v>62</v>
      </c>
      <c r="C29" s="218">
        <f t="shared" si="2"/>
        <v>667.36799999999994</v>
      </c>
    </row>
    <row r="30" spans="1:3" x14ac:dyDescent="0.2">
      <c r="B30" s="219">
        <f>SUM(B23:B29)</f>
        <v>2600</v>
      </c>
      <c r="C30" s="219">
        <f>SUM(C23:C29)</f>
        <v>27986.399999999998</v>
      </c>
    </row>
    <row r="31" spans="1:3" x14ac:dyDescent="0.2">
      <c r="B31" s="217"/>
      <c r="C31" s="217"/>
    </row>
    <row r="32" spans="1:3" x14ac:dyDescent="0.2">
      <c r="A32" s="206" t="s">
        <v>62</v>
      </c>
      <c r="B32" s="219">
        <f>+B30+B21+B14</f>
        <v>8652</v>
      </c>
      <c r="C32" s="219">
        <f>+C30+C21+C14</f>
        <v>93130.127999999997</v>
      </c>
    </row>
    <row r="33" spans="1:3" x14ac:dyDescent="0.2">
      <c r="B33" s="217"/>
      <c r="C33" s="217"/>
    </row>
    <row r="34" spans="1:3" ht="16" thickBot="1" x14ac:dyDescent="0.25">
      <c r="A34" s="202" t="s">
        <v>221</v>
      </c>
      <c r="B34" s="218"/>
      <c r="C34" s="218"/>
    </row>
    <row r="35" spans="1:3" x14ac:dyDescent="0.2">
      <c r="A35" s="203" t="s">
        <v>222</v>
      </c>
      <c r="B35" s="217">
        <v>14000</v>
      </c>
      <c r="C35" s="217">
        <f t="shared" ref="C35:C36" si="3">B35*$B$3</f>
        <v>150696</v>
      </c>
    </row>
    <row r="36" spans="1:3" ht="16" thickBot="1" x14ac:dyDescent="0.25">
      <c r="A36" s="205" t="s">
        <v>223</v>
      </c>
      <c r="B36" s="218">
        <v>20000</v>
      </c>
      <c r="C36" s="218">
        <f t="shared" si="3"/>
        <v>215280</v>
      </c>
    </row>
    <row r="37" spans="1:3" x14ac:dyDescent="0.2">
      <c r="A37" s="206" t="s">
        <v>62</v>
      </c>
      <c r="B37" s="219">
        <f>SUM(B35:B36)</f>
        <v>34000</v>
      </c>
      <c r="C37" s="219">
        <f>SUM(C35:C36)</f>
        <v>365976</v>
      </c>
    </row>
    <row r="38" spans="1:3" x14ac:dyDescent="0.2">
      <c r="C38" s="204"/>
    </row>
    <row r="39" spans="1:3" ht="16" x14ac:dyDescent="0.2">
      <c r="A39" s="2" t="s">
        <v>362</v>
      </c>
    </row>
    <row r="40" spans="1:3" ht="16" x14ac:dyDescent="0.2">
      <c r="A40" t="s">
        <v>363</v>
      </c>
    </row>
  </sheetData>
  <mergeCells count="1">
    <mergeCell ref="B1:C1"/>
  </mergeCells>
  <pageMargins left="0.7" right="0.7" top="0.75" bottom="0.75" header="0.3" footer="0.3"/>
  <pageSetup orientation="portrait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8895-7270-794B-9E31-580439679A2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 Summary</vt:lpstr>
      <vt:lpstr>Bay Revenue</vt:lpstr>
      <vt:lpstr>Hard + Soft Costs</vt:lpstr>
      <vt:lpstr>XRange Tech &amp; Equipment</vt:lpstr>
      <vt:lpstr>Area Schedule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Pottruff</dc:creator>
  <cp:lastModifiedBy>Jake </cp:lastModifiedBy>
  <cp:lastPrinted>2023-04-14T10:09:26Z</cp:lastPrinted>
  <dcterms:created xsi:type="dcterms:W3CDTF">2023-04-03T08:10:01Z</dcterms:created>
  <dcterms:modified xsi:type="dcterms:W3CDTF">2024-04-08T15:08:32Z</dcterms:modified>
</cp:coreProperties>
</file>
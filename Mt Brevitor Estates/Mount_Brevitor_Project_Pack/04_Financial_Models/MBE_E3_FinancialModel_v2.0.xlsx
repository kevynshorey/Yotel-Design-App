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evenue Model" sheetId="2" state="visible" r:id="rId2"/>
    <sheet xmlns:r="http://schemas.openxmlformats.org/officeDocument/2006/relationships" name="Cost Model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Development Appraisal" sheetId="5" state="visible" r:id="rId5"/>
    <sheet xmlns:r="http://schemas.openxmlformats.org/officeDocument/2006/relationships" name="Sensitivity Analysis" sheetId="6" state="visible" r:id="rId6"/>
    <sheet xmlns:r="http://schemas.openxmlformats.org/officeDocument/2006/relationships" name="Farm P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(#,##0);&quot;-&quot;"/>
    <numFmt numFmtId="165" formatCode="$#,##0;($#,##0);&quot;-&quot;"/>
    <numFmt numFmtId="166" formatCode="0.0%"/>
    <numFmt numFmtId="167" formatCode="#,##0.0;(#,##0.0);&quot;-&quot;"/>
  </numFmts>
  <fonts count="12">
    <font>
      <name val="Calibri"/>
      <family val="2"/>
      <color theme="1"/>
      <sz val="11"/>
      <scheme val="minor"/>
    </font>
    <font>
      <name val="Arial"/>
      <b val="1"/>
      <color rgb="001B5E20"/>
      <sz val="14"/>
    </font>
    <font>
      <name val="Arial"/>
      <i val="1"/>
      <color rgb="00666666"/>
      <sz val="9"/>
    </font>
    <font>
      <name val="Arial"/>
      <b val="1"/>
      <color rgb="001B5E20"/>
      <sz val="11"/>
    </font>
    <font>
      <name val="Arial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color rgb="00008000"/>
      <sz val="10"/>
    </font>
    <font>
      <name val="Arial"/>
      <b val="1"/>
      <color rgb="00008000"/>
      <sz val="10"/>
    </font>
  </fonts>
  <fills count="5">
    <fill>
      <patternFill/>
    </fill>
    <fill>
      <patternFill patternType="gray125"/>
    </fill>
    <fill>
      <patternFill patternType="solid">
        <fgColor rgb="00E8F5E9"/>
      </patternFill>
    </fill>
    <fill>
      <patternFill patternType="solid">
        <fgColor rgb="001B5E20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2" borderId="1" pivotButton="0" quotePrefix="0" xfId="0"/>
    <xf numFmtId="0" fontId="4" fillId="0" borderId="1" pivotButton="0" quotePrefix="0" xfId="0"/>
    <xf numFmtId="164" fontId="5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2" fontId="5" fillId="0" borderId="1" pivotButton="0" quotePrefix="0" xfId="0"/>
    <xf numFmtId="0" fontId="5" fillId="0" borderId="1" pivotButton="0" quotePrefix="0" xfId="0"/>
    <xf numFmtId="0" fontId="6" fillId="3" borderId="1" applyAlignment="1" pivotButton="0" quotePrefix="0" xfId="0">
      <alignment horizontal="center" vertical="center"/>
    </xf>
    <xf numFmtId="165" fontId="5" fillId="0" borderId="1" pivotButton="0" quotePrefix="0" xfId="0"/>
    <xf numFmtId="165" fontId="7" fillId="0" borderId="1" pivotButton="0" quotePrefix="0" xfId="0"/>
    <xf numFmtId="0" fontId="8" fillId="0" borderId="1" pivotButton="0" quotePrefix="0" xfId="0"/>
    <xf numFmtId="164" fontId="9" fillId="0" borderId="1" pivotButton="0" quotePrefix="0" xfId="0"/>
    <xf numFmtId="165" fontId="9" fillId="0" borderId="1" pivotButton="0" quotePrefix="0" xfId="0"/>
    <xf numFmtId="166" fontId="5" fillId="4" borderId="1" pivotButton="0" quotePrefix="0" xfId="0"/>
    <xf numFmtId="166" fontId="5" fillId="0" borderId="1" pivotButton="0" quotePrefix="0" xfId="0"/>
    <xf numFmtId="164" fontId="7" fillId="0" borderId="1" pivotButton="0" quotePrefix="0" xfId="0"/>
    <xf numFmtId="165" fontId="10" fillId="0" borderId="1" pivotButton="0" quotePrefix="0" xfId="0"/>
    <xf numFmtId="165" fontId="11" fillId="0" borderId="1" pivotButton="0" quotePrefix="0" xfId="0"/>
    <xf numFmtId="0" fontId="2" fillId="2" borderId="1" pivotButton="0" quotePrefix="0" xfId="0"/>
    <xf numFmtId="0" fontId="8" fillId="4" borderId="1" pivotButton="0" quotePrefix="0" xfId="0"/>
    <xf numFmtId="166" fontId="7" fillId="0" borderId="1" pivotButton="0" quotePrefix="0" xfId="0"/>
    <xf numFmtId="166" fontId="9" fillId="0" borderId="1" pivotButton="0" quotePrefix="0" xfId="0"/>
    <xf numFmtId="0" fontId="8" fillId="2" borderId="1" pivotButton="0" quotePrefix="0" xfId="0"/>
    <xf numFmtId="166" fontId="10" fillId="0" borderId="1" pivotButton="0" quotePrefix="0" xfId="0"/>
    <xf numFmtId="167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30" customWidth="1" min="7" max="7"/>
  </cols>
  <sheetData>
    <row r="1">
      <c r="A1" s="1" t="inlineStr">
        <is>
          <t>MOUNT BREVITOR ESTATE DEVELOPMENT</t>
        </is>
      </c>
    </row>
    <row r="2">
      <c r="A2" s="2" t="inlineStr">
        <is>
          <t>Financial Model Assumptions Sheet | v2.0 | March 2025</t>
        </is>
      </c>
    </row>
    <row r="3">
      <c r="A3" s="2" t="inlineStr">
        <is>
          <t>Blue = Input | Black = Formula | Green = Cross-sheet link | Yellow = Key assumption</t>
        </is>
      </c>
    </row>
    <row r="5">
      <c r="A5" s="3" t="inlineStr">
        <is>
          <t>SITE PARAMETERS</t>
        </is>
      </c>
      <c r="B5" s="4" t="n"/>
      <c r="C5" s="4" t="n"/>
      <c r="D5" s="4" t="n"/>
      <c r="E5" s="4" t="n"/>
      <c r="F5" s="4" t="n"/>
      <c r="G5" s="4" t="n"/>
    </row>
    <row r="6">
      <c r="A6" s="5" t="inlineStr">
        <is>
          <t>Total Site Area (acres)</t>
        </is>
      </c>
      <c r="B6" s="6" t="n">
        <v>120</v>
      </c>
      <c r="C6" s="7" t="n"/>
      <c r="D6" s="7" t="n"/>
      <c r="E6" s="7" t="n"/>
      <c r="F6" s="7" t="n"/>
      <c r="G6" s="8" t="inlineStr">
        <is>
          <t>Confirmed</t>
        </is>
      </c>
    </row>
    <row r="7">
      <c r="A7" s="5" t="inlineStr">
        <is>
          <t>Residential Area (acres, est.)</t>
        </is>
      </c>
      <c r="B7" s="6" t="n">
        <v>55</v>
      </c>
      <c r="C7" s="7" t="n"/>
      <c r="D7" s="7" t="n"/>
      <c r="E7" s="7" t="n"/>
      <c r="F7" s="7" t="n"/>
      <c r="G7" s="8" t="inlineStr">
        <is>
          <t>Developer estimate, subject to master plan</t>
        </is>
      </c>
    </row>
    <row r="8">
      <c r="A8" s="5" t="inlineStr">
        <is>
          <t>Farm Area (acres, est.)</t>
        </is>
      </c>
      <c r="B8" s="6" t="n">
        <v>25</v>
      </c>
      <c r="C8" s="7" t="n"/>
      <c r="D8" s="7" t="n"/>
      <c r="E8" s="7" t="n"/>
      <c r="F8" s="7" t="n"/>
      <c r="G8" s="8" t="inlineStr">
        <is>
          <t>Includes aquaponics, pasture, veg</t>
        </is>
      </c>
    </row>
    <row r="9">
      <c r="A9" s="5" t="inlineStr">
        <is>
          <t>Golf / X Range Area (acres, est.)</t>
        </is>
      </c>
      <c r="B9" s="6" t="n">
        <v>6</v>
      </c>
      <c r="C9" s="7" t="n"/>
      <c r="D9" s="7" t="n"/>
      <c r="E9" s="7" t="n"/>
      <c r="F9" s="7" t="n"/>
      <c r="G9" s="8" t="inlineStr">
        <is>
          <t>Agricultural land, conversion required</t>
        </is>
      </c>
    </row>
    <row r="10">
      <c r="A10" s="5" t="inlineStr">
        <is>
          <t>Infrastructure / Common (acres, est.)</t>
        </is>
      </c>
      <c r="B10" s="6" t="n">
        <v>20</v>
      </c>
      <c r="C10" s="7" t="n"/>
      <c r="D10" s="7" t="n"/>
      <c r="E10" s="7" t="n"/>
      <c r="F10" s="7" t="n"/>
      <c r="G10" s="8" t="inlineStr">
        <is>
          <t>Roads, utilities, amenities</t>
        </is>
      </c>
    </row>
    <row r="11">
      <c r="A11" s="5" t="inlineStr">
        <is>
          <t>Green / Buffer (acres, est.)</t>
        </is>
      </c>
      <c r="B11" s="6" t="n">
        <v>14</v>
      </c>
      <c r="C11" s="7" t="n"/>
      <c r="D11" s="7" t="n"/>
      <c r="E11" s="7" t="n"/>
      <c r="F11" s="7" t="n"/>
      <c r="G11" s="8" t="inlineStr">
        <is>
          <t>Parks, setbacks, environmental</t>
        </is>
      </c>
    </row>
    <row r="13">
      <c r="A13" s="3" t="inlineStr">
        <is>
          <t>CURRENCY</t>
        </is>
      </c>
      <c r="B13" s="4" t="n"/>
      <c r="C13" s="4" t="n"/>
      <c r="D13" s="4" t="n"/>
      <c r="E13" s="4" t="n"/>
      <c r="F13" s="4" t="n"/>
      <c r="G13" s="4" t="n"/>
    </row>
    <row r="14">
      <c r="A14" s="5" t="inlineStr">
        <is>
          <t>BBD:USD Exchange Rate</t>
        </is>
      </c>
      <c r="B14" s="9" t="n">
        <v>2</v>
      </c>
      <c r="C14" s="7" t="n"/>
      <c r="D14" s="7" t="n"/>
      <c r="E14" s="7" t="n"/>
      <c r="F14" s="7" t="n"/>
      <c r="G14" s="8" t="inlineStr">
        <is>
          <t>Fixed peg since 1975</t>
        </is>
      </c>
    </row>
    <row r="15">
      <c r="A15" s="5" t="inlineStr">
        <is>
          <t>Primary Currency</t>
        </is>
      </c>
      <c r="B15" s="10" t="inlineStr">
        <is>
          <t>BBD</t>
        </is>
      </c>
      <c r="C15" s="7" t="n"/>
      <c r="D15" s="7" t="n"/>
      <c r="E15" s="7" t="n"/>
      <c r="F15" s="7" t="n"/>
      <c r="G15" s="7" t="n"/>
    </row>
    <row r="17">
      <c r="A17" s="3" t="inlineStr">
        <is>
          <t>UNIT MIX AND PRICING</t>
        </is>
      </c>
      <c r="B17" s="4" t="n"/>
      <c r="C17" s="4" t="n"/>
      <c r="D17" s="4" t="n"/>
      <c r="E17" s="4" t="n"/>
      <c r="F17" s="4" t="n"/>
      <c r="G17" s="4" t="n"/>
    </row>
    <row r="18">
      <c r="A18" s="11" t="inlineStr">
        <is>
          <t>Unit Type</t>
        </is>
      </c>
      <c r="B18" s="11" t="inlineStr">
        <is>
          <t>Units</t>
        </is>
      </c>
      <c r="C18" s="11" t="inlineStr">
        <is>
          <t>Avg Size (sq ft)</t>
        </is>
      </c>
      <c r="D18" s="11" t="inlineStr">
        <is>
          <t>Price BBD</t>
        </is>
      </c>
      <c r="E18" s="11" t="inlineStr">
        <is>
          <t>Price USD</t>
        </is>
      </c>
      <c r="F18" s="11" t="inlineStr">
        <is>
          <t>GDV BBD</t>
        </is>
      </c>
      <c r="G18" s="11" t="inlineStr">
        <is>
          <t>Source / Note</t>
        </is>
      </c>
    </row>
    <row r="19">
      <c r="A19" s="5" t="inlineStr">
        <is>
          <t>1-Bed Condo</t>
        </is>
      </c>
      <c r="B19" s="6" t="n">
        <v>80</v>
      </c>
      <c r="C19" s="6" t="n">
        <v>750</v>
      </c>
      <c r="D19" s="12" t="n">
        <v>440000</v>
      </c>
      <c r="E19" s="13">
        <f>D19/B14</f>
        <v/>
      </c>
      <c r="F19" s="13">
        <f>B19*D19</f>
        <v/>
      </c>
      <c r="G19" s="8" t="inlineStr">
        <is>
          <t>Entry product, local buyers</t>
        </is>
      </c>
    </row>
    <row r="20">
      <c r="A20" s="5" t="inlineStr">
        <is>
          <t>2-Bed Townhouse</t>
        </is>
      </c>
      <c r="B20" s="6" t="n">
        <v>95</v>
      </c>
      <c r="C20" s="6" t="n">
        <v>1100</v>
      </c>
      <c r="D20" s="12" t="n">
        <v>560000</v>
      </c>
      <c r="E20" s="13">
        <f>D20/B14</f>
        <v/>
      </c>
      <c r="F20" s="13">
        <f>B20*D20</f>
        <v/>
      </c>
      <c r="G20" s="8" t="inlineStr">
        <is>
          <t>Core mid-market product</t>
        </is>
      </c>
    </row>
    <row r="21">
      <c r="A21" s="5" t="inlineStr">
        <is>
          <t>3-Bed Townhouse</t>
        </is>
      </c>
      <c r="B21" s="6" t="n">
        <v>85</v>
      </c>
      <c r="C21" s="6" t="n">
        <v>1450</v>
      </c>
      <c r="D21" s="12" t="n">
        <v>623700</v>
      </c>
      <c r="E21" s="13">
        <f>D21/B14</f>
        <v/>
      </c>
      <c r="F21" s="13">
        <f>B21*D21</f>
        <v/>
      </c>
      <c r="G21" s="8" t="inlineStr">
        <is>
          <t>Upgrader / diaspora</t>
        </is>
      </c>
    </row>
    <row r="22">
      <c r="A22" s="5" t="inlineStr">
        <is>
          <t>4-Bed Home</t>
        </is>
      </c>
      <c r="B22" s="6" t="n">
        <v>55</v>
      </c>
      <c r="C22" s="6" t="n">
        <v>2000</v>
      </c>
      <c r="D22" s="12" t="n">
        <v>880000</v>
      </c>
      <c r="E22" s="13">
        <f>D22/B14</f>
        <v/>
      </c>
      <c r="F22" s="13">
        <f>B22*D22</f>
        <v/>
      </c>
      <c r="G22" s="8" t="inlineStr">
        <is>
          <t>Upper-tier, demand unverified</t>
        </is>
      </c>
    </row>
    <row r="23">
      <c r="A23" s="5" t="inlineStr">
        <is>
          <t>5-Bed Estate Home</t>
        </is>
      </c>
      <c r="B23" s="6" t="n">
        <v>40</v>
      </c>
      <c r="C23" s="6" t="n">
        <v>2800</v>
      </c>
      <c r="D23" s="12" t="n">
        <v>1430000</v>
      </c>
      <c r="E23" s="13">
        <f>D23/B14</f>
        <v/>
      </c>
      <c r="F23" s="13">
        <f>B23*D23</f>
        <v/>
      </c>
      <c r="G23" s="8" t="inlineStr">
        <is>
          <t>Luxury, requires market validation</t>
        </is>
      </c>
    </row>
    <row r="24">
      <c r="A24" s="14" t="inlineStr">
        <is>
          <t>TOTAL RESIDENTIAL</t>
        </is>
      </c>
      <c r="B24" s="15">
        <f>SUM(B19:B23)</f>
        <v/>
      </c>
      <c r="C24" s="7" t="n"/>
      <c r="D24" s="7" t="n"/>
      <c r="E24" s="16">
        <f>F24/B14</f>
        <v/>
      </c>
      <c r="F24" s="16">
        <f>SUM(F19:F23)</f>
        <v/>
      </c>
      <c r="G24" s="7" t="n"/>
    </row>
    <row r="26">
      <c r="A26" s="3" t="inlineStr">
        <is>
          <t>CONSTRUCTION COST ASSUMPTIONS</t>
        </is>
      </c>
      <c r="B26" s="4" t="n"/>
      <c r="C26" s="4" t="n"/>
      <c r="D26" s="4" t="n"/>
      <c r="E26" s="4" t="n"/>
      <c r="F26" s="4" t="n"/>
      <c r="G26" s="4" t="n"/>
    </row>
    <row r="27">
      <c r="A27" s="5" t="inlineStr">
        <is>
          <t>BCQS 2025 Benchmark (BBD/sq ft, modest)</t>
        </is>
      </c>
      <c r="B27" s="6" t="n">
        <v>275</v>
      </c>
      <c r="C27" s="7" t="n"/>
      <c r="D27" s="7" t="n"/>
      <c r="E27" s="7" t="n"/>
      <c r="F27" s="7" t="n"/>
      <c r="G27" s="8" t="inlineStr">
        <is>
          <t>Source: BCQS Caribbean Construction Report 2025</t>
        </is>
      </c>
    </row>
    <row r="28">
      <c r="A28" s="5" t="inlineStr">
        <is>
          <t>BCQS 2025 Benchmark (BBD/sq ft, mid-range)</t>
        </is>
      </c>
      <c r="B28" s="6" t="n">
        <v>350</v>
      </c>
      <c r="C28" s="7" t="n"/>
      <c r="D28" s="7" t="n"/>
      <c r="E28" s="7" t="n"/>
      <c r="F28" s="7" t="n"/>
      <c r="G28" s="8" t="inlineStr">
        <is>
          <t>Source: BCQS 2025. Mid-range residential.</t>
        </is>
      </c>
    </row>
    <row r="29">
      <c r="A29" s="5" t="inlineStr">
        <is>
          <t>BCQS 2025 Benchmark (BBD/sq ft, upper)</t>
        </is>
      </c>
      <c r="B29" s="6" t="n">
        <v>450</v>
      </c>
      <c r="C29" s="7" t="n"/>
      <c r="D29" s="7" t="n"/>
      <c r="E29" s="7" t="n"/>
      <c r="F29" s="7" t="n"/>
      <c r="G29" s="8" t="inlineStr">
        <is>
          <t>Source: BCQS 2025. Upper residential / finishing.</t>
        </is>
      </c>
    </row>
    <row r="30">
      <c r="A30" s="5" t="inlineStr">
        <is>
          <t>Developer Claimed Savings (%)</t>
        </is>
      </c>
      <c r="B30" s="17" t="n">
        <v>0.25</v>
      </c>
      <c r="C30" s="7" t="n"/>
      <c r="D30" s="7" t="n"/>
      <c r="E30" s="7" t="n"/>
      <c r="F30" s="7" t="n"/>
      <c r="G30" s="8" t="inlineStr">
        <is>
          <t>20-30% claimed. NOT independently verified. FLAG.</t>
        </is>
      </c>
    </row>
    <row r="31">
      <c r="A31" s="5" t="inlineStr">
        <is>
          <t>Cost Escalation Rate (annual)</t>
        </is>
      </c>
      <c r="B31" s="17" t="n">
        <v>0.043</v>
      </c>
      <c r="C31" s="7" t="n"/>
      <c r="D31" s="7" t="n"/>
      <c r="E31" s="7" t="n"/>
      <c r="F31" s="7" t="n"/>
      <c r="G31" s="8" t="inlineStr">
        <is>
          <t>Source: BCQS 2025 trend data (4.3% p.a.)</t>
        </is>
      </c>
    </row>
    <row r="32">
      <c r="A32" s="5" t="inlineStr">
        <is>
          <t>Site Preparation (BBD/acre)</t>
        </is>
      </c>
      <c r="B32" s="12" t="n">
        <v>40000</v>
      </c>
      <c r="C32" s="7" t="n"/>
      <c r="D32" s="7" t="n"/>
      <c r="E32" s="7" t="n"/>
      <c r="F32" s="7" t="n"/>
      <c r="G32" s="8" t="inlineStr">
        <is>
          <t>Estimated. Geotechnical survey outstanding.</t>
        </is>
      </c>
    </row>
    <row r="33">
      <c r="A33" s="5" t="inlineStr">
        <is>
          <t>Infrastructure Cost (BBD, total est.)</t>
        </is>
      </c>
      <c r="B33" s="12" t="n">
        <v>18000000</v>
      </c>
      <c r="C33" s="7" t="n"/>
      <c r="D33" s="7" t="n"/>
      <c r="E33" s="7" t="n"/>
      <c r="F33" s="7" t="n"/>
      <c r="G33" s="8" t="inlineStr">
        <is>
          <t>Roads, water, sewage, electrical. Developer est.</t>
        </is>
      </c>
    </row>
    <row r="35">
      <c r="A35" s="3" t="inlineStr">
        <is>
          <t>FINANCING ASSUMPTIONS</t>
        </is>
      </c>
      <c r="B35" s="4" t="n"/>
      <c r="C35" s="4" t="n"/>
      <c r="D35" s="4" t="n"/>
      <c r="E35" s="4" t="n"/>
      <c r="F35" s="4" t="n"/>
      <c r="G35" s="4" t="n"/>
    </row>
    <row r="36">
      <c r="A36" s="5" t="inlineStr">
        <is>
          <t>Loan Facility (USD)</t>
        </is>
      </c>
      <c r="B36" s="12" t="n">
        <v>57000000</v>
      </c>
      <c r="C36" s="7" t="n"/>
      <c r="D36" s="7" t="n"/>
      <c r="E36" s="7" t="n"/>
      <c r="F36" s="7" t="n"/>
      <c r="G36" s="8" t="inlineStr">
        <is>
          <t>Developer stated. Strategic partner facility.</t>
        </is>
      </c>
    </row>
    <row r="37">
      <c r="A37" s="5" t="inlineStr">
        <is>
          <t>Interest Rate (stated)</t>
        </is>
      </c>
      <c r="B37" s="17" t="n">
        <v>0.05</v>
      </c>
      <c r="C37" s="7" t="n"/>
      <c r="D37" s="7" t="n"/>
      <c r="E37" s="7" t="n"/>
      <c r="F37" s="7" t="n"/>
      <c r="G37" s="8" t="inlineStr">
        <is>
          <t>FLAG: Below Barbados commercial rates (6-9%). See F-01.</t>
        </is>
      </c>
    </row>
    <row r="38">
      <c r="A38" s="5" t="inlineStr">
        <is>
          <t>Interest Rate (market benchmark)</t>
        </is>
      </c>
      <c r="B38" s="17" t="n">
        <v>0.075</v>
      </c>
      <c r="C38" s="7" t="n"/>
      <c r="D38" s="7" t="n"/>
      <c r="E38" s="7" t="n"/>
      <c r="F38" s="7" t="n"/>
      <c r="G38" s="8" t="inlineStr">
        <is>
          <t>Mid-point of 6-9% Barbados commercial range.</t>
        </is>
      </c>
    </row>
    <row r="39">
      <c r="A39" s="5" t="inlineStr">
        <is>
          <t>Loan Term (years)</t>
        </is>
      </c>
      <c r="B39" s="12" t="n">
        <v>4</v>
      </c>
      <c r="C39" s="7" t="n"/>
      <c r="D39" s="7" t="n"/>
      <c r="E39" s="7" t="n"/>
      <c r="F39" s="7" t="n"/>
      <c r="G39" s="8" t="inlineStr">
        <is>
          <t>2025-2028 per developer draw schedule.</t>
        </is>
      </c>
    </row>
    <row r="40">
      <c r="A40" s="5" t="inlineStr">
        <is>
          <t>Pre-Sales Threshold (%)</t>
        </is>
      </c>
      <c r="B40" s="17" t="n">
        <v>0.1</v>
      </c>
      <c r="C40" s="7" t="n"/>
      <c r="D40" s="7" t="n"/>
      <c r="E40" s="7" t="n"/>
      <c r="F40" s="7" t="n"/>
      <c r="G40" s="8" t="inlineStr">
        <is>
          <t>Developer assumption. Industry norm: 20-30%. FLAG.</t>
        </is>
      </c>
    </row>
    <row r="41">
      <c r="A41" s="5" t="inlineStr">
        <is>
          <t>Land Cost (USD)</t>
        </is>
      </c>
      <c r="B41" s="12" t="n">
        <v>4500000</v>
      </c>
      <c r="C41" s="7" t="n"/>
      <c r="D41" s="7" t="n"/>
      <c r="E41" s="7" t="n"/>
      <c r="F41" s="7" t="n"/>
      <c r="G41" s="8" t="inlineStr">
        <is>
          <t>Confirmed per draw schedule.</t>
        </is>
      </c>
    </row>
    <row r="42">
      <c r="A42" s="5" t="inlineStr">
        <is>
          <t>Contingency (%)</t>
        </is>
      </c>
      <c r="B42" s="17" t="n">
        <v>0.1</v>
      </c>
      <c r="C42" s="7" t="n"/>
      <c r="D42" s="7" t="n"/>
      <c r="E42" s="7" t="n"/>
      <c r="F42" s="7" t="n"/>
      <c r="G42" s="8" t="inlineStr">
        <is>
          <t>Advisory recommendation: minimum 10%.</t>
        </is>
      </c>
    </row>
    <row r="44">
      <c r="A44" s="3" t="inlineStr">
        <is>
          <t>ABSORPTION ASSUMPTIONS</t>
        </is>
      </c>
      <c r="B44" s="4" t="n"/>
      <c r="C44" s="4" t="n"/>
      <c r="D44" s="4" t="n"/>
      <c r="E44" s="4" t="n"/>
      <c r="F44" s="4" t="n"/>
      <c r="G44" s="4" t="n"/>
    </row>
    <row r="45">
      <c r="A45" s="5" t="inlineStr">
        <is>
          <t>Base Case Absorption (units/year)</t>
        </is>
      </c>
      <c r="B45" s="6" t="n">
        <v>110</v>
      </c>
      <c r="C45" s="7" t="n"/>
      <c r="D45" s="7" t="n"/>
      <c r="E45" s="7" t="n"/>
      <c r="F45" s="7" t="n"/>
      <c r="G45" s="8" t="inlineStr">
        <is>
          <t>Mid-point of 100-120 range. B1 Demand Analysis.</t>
        </is>
      </c>
    </row>
    <row r="46">
      <c r="A46" s="5" t="inlineStr">
        <is>
          <t>Conservative Absorption (units/year)</t>
        </is>
      </c>
      <c r="B46" s="6" t="n">
        <v>70</v>
      </c>
      <c r="C46" s="7" t="n"/>
      <c r="D46" s="7" t="n"/>
      <c r="E46" s="7" t="n"/>
      <c r="F46" s="7" t="n"/>
      <c r="G46" s="8" t="inlineStr">
        <is>
          <t>Mid-point of 60-80 range.</t>
        </is>
      </c>
    </row>
    <row r="47">
      <c r="A47" s="5" t="inlineStr">
        <is>
          <t>Optimistic Absorption (units/year)</t>
        </is>
      </c>
      <c r="B47" s="6" t="n">
        <v>140</v>
      </c>
      <c r="C47" s="7" t="n"/>
      <c r="D47" s="7" t="n"/>
      <c r="E47" s="7" t="n"/>
      <c r="F47" s="7" t="n"/>
      <c r="G47" s="8" t="inlineStr">
        <is>
          <t>Mid-point of 130-150 range.</t>
        </is>
      </c>
    </row>
    <row r="48">
      <c r="A48" s="5" t="inlineStr">
        <is>
          <t>Local Buyer Share (%)</t>
        </is>
      </c>
      <c r="B48" s="18" t="n">
        <v>0.6</v>
      </c>
      <c r="C48" s="7" t="n"/>
      <c r="D48" s="7" t="n"/>
      <c r="E48" s="7" t="n"/>
      <c r="F48" s="7" t="n"/>
      <c r="G48" s="8" t="inlineStr">
        <is>
          <t>55-65% range. B1 Demand Analysis.</t>
        </is>
      </c>
    </row>
    <row r="49">
      <c r="A49" s="5" t="inlineStr">
        <is>
          <t>Diaspora Buyer Share (%)</t>
        </is>
      </c>
      <c r="B49" s="18" t="n">
        <v>0.175</v>
      </c>
      <c r="C49" s="7" t="n"/>
      <c r="D49" s="7" t="n"/>
      <c r="E49" s="7" t="n"/>
      <c r="F49" s="7" t="n"/>
      <c r="G49" s="8" t="inlineStr">
        <is>
          <t>15-20% range.</t>
        </is>
      </c>
    </row>
    <row r="50">
      <c r="A50" s="5" t="inlineStr">
        <is>
          <t>International Buyer Share (%)</t>
        </is>
      </c>
      <c r="B50" s="18" t="n">
        <v>0.125</v>
      </c>
      <c r="C50" s="7" t="n"/>
      <c r="D50" s="7" t="n"/>
      <c r="E50" s="7" t="n"/>
      <c r="F50" s="7" t="n"/>
      <c r="G50" s="8" t="inlineStr">
        <is>
          <t>10-15% range.</t>
        </is>
      </c>
    </row>
    <row r="51">
      <c r="A51" s="5" t="inlineStr">
        <is>
          <t>Regional Investor Share (%)</t>
        </is>
      </c>
      <c r="B51" s="18" t="n">
        <v>0.1</v>
      </c>
      <c r="C51" s="7" t="n"/>
      <c r="D51" s="7" t="n"/>
      <c r="E51" s="7" t="n"/>
      <c r="F51" s="7" t="n"/>
      <c r="G51" s="8" t="inlineStr">
        <is>
          <t>5-10% range.</t>
        </is>
      </c>
    </row>
    <row r="53">
      <c r="A53" s="3" t="inlineStr">
        <is>
          <t>MACROECONOMIC CONTEXT</t>
        </is>
      </c>
      <c r="B53" s="4" t="n"/>
      <c r="C53" s="4" t="n"/>
      <c r="D53" s="4" t="n"/>
      <c r="E53" s="4" t="n"/>
      <c r="F53" s="4" t="n"/>
      <c r="G53" s="4" t="n"/>
    </row>
    <row r="54">
      <c r="A54" s="5" t="inlineStr">
        <is>
          <t>Barbados GDP Growth (2025 proj.)</t>
        </is>
      </c>
      <c r="B54" s="18" t="n">
        <v>0.027</v>
      </c>
      <c r="C54" s="7" t="n"/>
      <c r="D54" s="7" t="n"/>
      <c r="E54" s="7" t="n"/>
      <c r="F54" s="7" t="n"/>
      <c r="G54" s="8" t="inlineStr">
        <is>
          <t>Source: CBB June 2025 Review.</t>
        </is>
      </c>
    </row>
    <row r="55">
      <c r="A55" s="5" t="inlineStr">
        <is>
          <t>Residential Price Growth (YoY)</t>
        </is>
      </c>
      <c r="B55" s="18" t="n">
        <v>0.06900000000000001</v>
      </c>
      <c r="C55" s="7" t="n"/>
      <c r="D55" s="7" t="n"/>
      <c r="E55" s="7" t="n"/>
      <c r="F55" s="7" t="n"/>
      <c r="G55" s="8" t="inlineStr">
        <is>
          <t>Source: BCQS / market data early 2025.</t>
        </is>
      </c>
    </row>
    <row r="56">
      <c r="A56" s="5" t="inlineStr">
        <is>
          <t>Inflation Rate (est. 2025)</t>
        </is>
      </c>
      <c r="B56" s="18" t="n">
        <v>0.031</v>
      </c>
      <c r="C56" s="7" t="n"/>
      <c r="D56" s="7" t="n"/>
      <c r="E56" s="7" t="n"/>
      <c r="F56" s="7" t="n"/>
      <c r="G56" s="8" t="inlineStr">
        <is>
          <t>Source: CBB projections.</t>
        </is>
      </c>
    </row>
    <row r="57">
      <c r="A57" s="5" t="inlineStr">
        <is>
          <t>Corporate Tax Rate</t>
        </is>
      </c>
      <c r="B57" s="18" t="n">
        <v>0.09</v>
      </c>
      <c r="C57" s="7" t="n"/>
      <c r="D57" s="7" t="n"/>
      <c r="E57" s="7" t="n"/>
      <c r="F57" s="7" t="n"/>
      <c r="G57" s="8" t="inlineStr">
        <is>
          <t>Confirmed. Barbados corporate tax.</t>
        </is>
      </c>
    </row>
    <row r="58">
      <c r="A58" s="5" t="inlineStr">
        <is>
          <t>Stamp Duty on Transfer</t>
        </is>
      </c>
      <c r="B58" s="18" t="n">
        <v>0.01</v>
      </c>
      <c r="C58" s="7" t="n"/>
      <c r="D58" s="7" t="n"/>
      <c r="E58" s="7" t="n"/>
      <c r="F58" s="7" t="n"/>
      <c r="G58" s="8" t="inlineStr">
        <is>
          <t>1% buyer side.</t>
        </is>
      </c>
    </row>
    <row r="59">
      <c r="A59" s="5" t="inlineStr">
        <is>
          <t>Property Transfer Tax</t>
        </is>
      </c>
      <c r="B59" s="18" t="n">
        <v>0.025</v>
      </c>
      <c r="C59" s="7" t="n"/>
      <c r="D59" s="7" t="n"/>
      <c r="E59" s="7" t="n"/>
      <c r="F59" s="7" t="n"/>
      <c r="G59" s="8" t="inlineStr">
        <is>
          <t>2.5% on sale.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MOUNT BREVITOR ESTATE DEVELOPMENT</t>
        </is>
      </c>
    </row>
    <row r="2">
      <c r="A2" s="2" t="inlineStr">
        <is>
          <t>Revenue Model | BBD Primary | v2.0</t>
        </is>
      </c>
    </row>
    <row r="4">
      <c r="A4" s="11" t="inlineStr">
        <is>
          <t>Revenue Line</t>
        </is>
      </c>
      <c r="B4" s="11" t="inlineStr">
        <is>
          <t>Unit</t>
        </is>
      </c>
      <c r="C4" s="11" t="inlineStr">
        <is>
          <t>2025</t>
        </is>
      </c>
      <c r="D4" s="11" t="inlineStr">
        <is>
          <t>2026</t>
        </is>
      </c>
      <c r="E4" s="11" t="inlineStr">
        <is>
          <t>2027</t>
        </is>
      </c>
      <c r="F4" s="11" t="inlineStr">
        <is>
          <t>2028</t>
        </is>
      </c>
      <c r="G4" s="11" t="inlineStr">
        <is>
          <t>Total</t>
        </is>
      </c>
    </row>
    <row r="5">
      <c r="A5" s="3" t="inlineStr">
        <is>
          <t>RESIDENTIAL REVENUE (BBD)</t>
        </is>
      </c>
      <c r="B5" s="4" t="n"/>
      <c r="C5" s="4" t="n"/>
      <c r="D5" s="4" t="n"/>
      <c r="E5" s="4" t="n"/>
      <c r="F5" s="4" t="n"/>
      <c r="G5" s="4" t="n"/>
    </row>
    <row r="6">
      <c r="A6" s="5" t="inlineStr">
        <is>
          <t>1-Bed Condo Sales</t>
        </is>
      </c>
      <c r="B6" s="5" t="inlineStr">
        <is>
          <t>Units</t>
        </is>
      </c>
      <c r="C6" s="6" t="n">
        <v>10</v>
      </c>
      <c r="D6" s="6" t="n">
        <v>30</v>
      </c>
      <c r="E6" s="6" t="n">
        <v>25</v>
      </c>
      <c r="F6" s="6" t="n">
        <v>15</v>
      </c>
      <c r="G6" s="19">
        <f>SUM(C6:F6)</f>
        <v/>
      </c>
    </row>
    <row r="7">
      <c r="A7" s="5" t="inlineStr">
        <is>
          <t>2-Bed Townhouse Sales</t>
        </is>
      </c>
      <c r="B7" s="5" t="inlineStr">
        <is>
          <t>Units</t>
        </is>
      </c>
      <c r="C7" s="6" t="n">
        <v>8</v>
      </c>
      <c r="D7" s="6" t="n">
        <v>35</v>
      </c>
      <c r="E7" s="6" t="n">
        <v>32</v>
      </c>
      <c r="F7" s="6" t="n">
        <v>20</v>
      </c>
      <c r="G7" s="19">
        <f>SUM(C7:F7)</f>
        <v/>
      </c>
    </row>
    <row r="8">
      <c r="A8" s="5" t="inlineStr">
        <is>
          <t>3-Bed Townhouse Sales</t>
        </is>
      </c>
      <c r="B8" s="5" t="inlineStr">
        <is>
          <t>Units</t>
        </is>
      </c>
      <c r="C8" s="6" t="n">
        <v>7</v>
      </c>
      <c r="D8" s="6" t="n">
        <v>30</v>
      </c>
      <c r="E8" s="6" t="n">
        <v>28</v>
      </c>
      <c r="F8" s="6" t="n">
        <v>20</v>
      </c>
      <c r="G8" s="19">
        <f>SUM(C8:F8)</f>
        <v/>
      </c>
    </row>
    <row r="9">
      <c r="A9" s="5" t="inlineStr">
        <is>
          <t>4-Bed Home Sales</t>
        </is>
      </c>
      <c r="B9" s="5" t="inlineStr">
        <is>
          <t>Units</t>
        </is>
      </c>
      <c r="C9" s="6" t="n">
        <v>3</v>
      </c>
      <c r="D9" s="6" t="n">
        <v>15</v>
      </c>
      <c r="E9" s="6" t="n">
        <v>20</v>
      </c>
      <c r="F9" s="6" t="n">
        <v>17</v>
      </c>
      <c r="G9" s="19">
        <f>SUM(C9:F9)</f>
        <v/>
      </c>
    </row>
    <row r="10">
      <c r="A10" s="5" t="inlineStr">
        <is>
          <t>5-Bed Estate Home Sales</t>
        </is>
      </c>
      <c r="B10" s="5" t="inlineStr">
        <is>
          <t>Units</t>
        </is>
      </c>
      <c r="C10" s="6" t="n">
        <v>2</v>
      </c>
      <c r="D10" s="6" t="n">
        <v>10</v>
      </c>
      <c r="E10" s="6" t="n">
        <v>10</v>
      </c>
      <c r="F10" s="6" t="n">
        <v>18</v>
      </c>
      <c r="G10" s="19">
        <f>SUM(C10:F10)</f>
        <v/>
      </c>
    </row>
    <row r="11">
      <c r="A11" s="14" t="inlineStr">
        <is>
          <t>Total Units Sold</t>
        </is>
      </c>
      <c r="B11" s="5" t="inlineStr">
        <is>
          <t>Units</t>
        </is>
      </c>
      <c r="C11" s="15">
        <f>SUM(C6:C10)</f>
        <v/>
      </c>
      <c r="D11" s="15">
        <f>SUM(D6:D10)</f>
        <v/>
      </c>
      <c r="E11" s="15">
        <f>SUM(E6:E10)</f>
        <v/>
      </c>
      <c r="F11" s="15">
        <f>SUM(F6:F10)</f>
        <v/>
      </c>
      <c r="G11" s="15">
        <f>SUM(C11:F11)</f>
        <v/>
      </c>
    </row>
    <row r="13">
      <c r="A13" s="3" t="inlineStr">
        <is>
          <t>RESIDENTIAL REVENUE BY TYPE (BBD)</t>
        </is>
      </c>
      <c r="B13" s="4" t="n"/>
      <c r="C13" s="4" t="n"/>
      <c r="D13" s="4" t="n"/>
      <c r="E13" s="4" t="n"/>
      <c r="F13" s="4" t="n"/>
      <c r="G13" s="4" t="n"/>
    </row>
    <row r="14">
      <c r="A14" s="5" t="inlineStr">
        <is>
          <t>1-Bed Condo Revenue</t>
        </is>
      </c>
      <c r="B14" s="5" t="inlineStr">
        <is>
          <t>BBD</t>
        </is>
      </c>
      <c r="C14" s="20">
        <f>C6*Assumptions!D19</f>
        <v/>
      </c>
      <c r="D14" s="20">
        <f>D6*Assumptions!D19</f>
        <v/>
      </c>
      <c r="E14" s="20">
        <f>E6*Assumptions!D19</f>
        <v/>
      </c>
      <c r="F14" s="20">
        <f>F6*Assumptions!D19</f>
        <v/>
      </c>
      <c r="G14" s="13">
        <f>SUM(C14:F14)</f>
        <v/>
      </c>
    </row>
    <row r="15">
      <c r="A15" s="5" t="inlineStr">
        <is>
          <t>2-Bed Townhouse Revenue</t>
        </is>
      </c>
      <c r="B15" s="5" t="inlineStr">
        <is>
          <t>BBD</t>
        </is>
      </c>
      <c r="C15" s="20">
        <f>C7*Assumptions!D20</f>
        <v/>
      </c>
      <c r="D15" s="20">
        <f>D7*Assumptions!D20</f>
        <v/>
      </c>
      <c r="E15" s="20">
        <f>E7*Assumptions!D20</f>
        <v/>
      </c>
      <c r="F15" s="20">
        <f>F7*Assumptions!D20</f>
        <v/>
      </c>
      <c r="G15" s="13">
        <f>SUM(C15:F15)</f>
        <v/>
      </c>
    </row>
    <row r="16">
      <c r="A16" s="5" t="inlineStr">
        <is>
          <t>3-Bed Townhouse Revenue</t>
        </is>
      </c>
      <c r="B16" s="5" t="inlineStr">
        <is>
          <t>BBD</t>
        </is>
      </c>
      <c r="C16" s="20">
        <f>C8*Assumptions!D21</f>
        <v/>
      </c>
      <c r="D16" s="20">
        <f>D8*Assumptions!D21</f>
        <v/>
      </c>
      <c r="E16" s="20">
        <f>E8*Assumptions!D21</f>
        <v/>
      </c>
      <c r="F16" s="20">
        <f>F8*Assumptions!D21</f>
        <v/>
      </c>
      <c r="G16" s="13">
        <f>SUM(C16:F16)</f>
        <v/>
      </c>
    </row>
    <row r="17">
      <c r="A17" s="5" t="inlineStr">
        <is>
          <t>4-Bed Home Revenue</t>
        </is>
      </c>
      <c r="B17" s="5" t="inlineStr">
        <is>
          <t>BBD</t>
        </is>
      </c>
      <c r="C17" s="20">
        <f>C9*Assumptions!D22</f>
        <v/>
      </c>
      <c r="D17" s="20">
        <f>D9*Assumptions!D22</f>
        <v/>
      </c>
      <c r="E17" s="20">
        <f>E9*Assumptions!D22</f>
        <v/>
      </c>
      <c r="F17" s="20">
        <f>F9*Assumptions!D22</f>
        <v/>
      </c>
      <c r="G17" s="13">
        <f>SUM(C17:F17)</f>
        <v/>
      </c>
    </row>
    <row r="18">
      <c r="A18" s="5" t="inlineStr">
        <is>
          <t>5-Bed Estate Home Revenue</t>
        </is>
      </c>
      <c r="B18" s="5" t="inlineStr">
        <is>
          <t>BBD</t>
        </is>
      </c>
      <c r="C18" s="20">
        <f>C10*Assumptions!D23</f>
        <v/>
      </c>
      <c r="D18" s="20">
        <f>D10*Assumptions!D23</f>
        <v/>
      </c>
      <c r="E18" s="20">
        <f>E10*Assumptions!D23</f>
        <v/>
      </c>
      <c r="F18" s="20">
        <f>F10*Assumptions!D23</f>
        <v/>
      </c>
      <c r="G18" s="13">
        <f>SUM(C18:F18)</f>
        <v/>
      </c>
    </row>
    <row r="19">
      <c r="A19" s="14" t="inlineStr">
        <is>
          <t>TOTAL RESIDENTIAL REVENUE (BBD)</t>
        </is>
      </c>
      <c r="B19" s="14" t="inlineStr">
        <is>
          <t>BBD</t>
        </is>
      </c>
      <c r="C19" s="16">
        <f>SUM(C14:C18)</f>
        <v/>
      </c>
      <c r="D19" s="16">
        <f>SUM(D14:D18)</f>
        <v/>
      </c>
      <c r="E19" s="16">
        <f>SUM(E14:E18)</f>
        <v/>
      </c>
      <c r="F19" s="16">
        <f>SUM(F14:F18)</f>
        <v/>
      </c>
      <c r="G19" s="16">
        <f>SUM(G14:G18)</f>
        <v/>
      </c>
    </row>
    <row r="20">
      <c r="A20" s="14" t="inlineStr">
        <is>
          <t>TOTAL RESIDENTIAL REVENUE (USD)</t>
        </is>
      </c>
      <c r="B20" s="14" t="inlineStr">
        <is>
          <t>USD</t>
        </is>
      </c>
      <c r="C20" s="21">
        <f>C19/Assumptions!B14</f>
        <v/>
      </c>
      <c r="D20" s="21">
        <f>D19/Assumptions!B14</f>
        <v/>
      </c>
      <c r="E20" s="21">
        <f>E19/Assumptions!B14</f>
        <v/>
      </c>
      <c r="F20" s="21">
        <f>F19/Assumptions!B14</f>
        <v/>
      </c>
      <c r="G20" s="21">
        <f>G19/Assumptions!B14</f>
        <v/>
      </c>
    </row>
    <row r="22">
      <c r="A22" s="3" t="inlineStr">
        <is>
          <t>NON-RESIDENTIAL REVENUE (BBD)</t>
        </is>
      </c>
      <c r="B22" s="4" t="n"/>
      <c r="C22" s="4" t="n"/>
      <c r="D22" s="4" t="n"/>
      <c r="E22" s="4" t="n"/>
      <c r="F22" s="4" t="n"/>
      <c r="G22" s="4" t="n"/>
    </row>
    <row r="23">
      <c r="A23" s="5" t="inlineStr">
        <is>
          <t>Farm Revenue (BBD)</t>
        </is>
      </c>
      <c r="B23" s="5" t="inlineStr">
        <is>
          <t>BBD</t>
        </is>
      </c>
      <c r="C23" s="12" t="n">
        <v>0</v>
      </c>
      <c r="D23" s="12" t="n">
        <v>500000</v>
      </c>
      <c r="E23" s="12" t="n">
        <v>2000000</v>
      </c>
      <c r="F23" s="12" t="n">
        <v>3000000</v>
      </c>
      <c r="G23" s="13">
        <f>SUM(C23:F23)</f>
        <v/>
      </c>
    </row>
    <row r="24">
      <c r="A24" s="5" t="inlineStr">
        <is>
          <t>X Range / Golf Revenue (BBD)</t>
        </is>
      </c>
      <c r="B24" s="5" t="inlineStr">
        <is>
          <t>BBD</t>
        </is>
      </c>
      <c r="C24" s="12" t="n">
        <v>0</v>
      </c>
      <c r="D24" s="12" t="n">
        <v>0</v>
      </c>
      <c r="E24" s="12" t="n">
        <v>3000000</v>
      </c>
      <c r="F24" s="12" t="n">
        <v>5000000</v>
      </c>
      <c r="G24" s="13">
        <f>SUM(C24:F24)</f>
        <v/>
      </c>
    </row>
    <row r="25">
      <c r="A25" s="5" t="inlineStr">
        <is>
          <t>Lot Premium / Amenity Fees (BBD)</t>
        </is>
      </c>
      <c r="B25" s="5" t="inlineStr">
        <is>
          <t>BBD</t>
        </is>
      </c>
      <c r="C25" s="12" t="n">
        <v>200000</v>
      </c>
      <c r="D25" s="12" t="n">
        <v>600000</v>
      </c>
      <c r="E25" s="12" t="n">
        <v>800000</v>
      </c>
      <c r="F25" s="12" t="n">
        <v>400000</v>
      </c>
      <c r="G25" s="13">
        <f>SUM(C25:F25)</f>
        <v/>
      </c>
    </row>
    <row r="26">
      <c r="A26" s="5" t="inlineStr">
        <is>
          <t>Commercial Lease Revenue (BBD)</t>
        </is>
      </c>
      <c r="B26" s="5" t="inlineStr">
        <is>
          <t>BBD</t>
        </is>
      </c>
      <c r="C26" s="12" t="n">
        <v>0</v>
      </c>
      <c r="D26" s="12" t="n">
        <v>0</v>
      </c>
      <c r="E26" s="12" t="n">
        <v>500000</v>
      </c>
      <c r="F26" s="12" t="n">
        <v>1500000</v>
      </c>
      <c r="G26" s="13">
        <f>SUM(C26:F26)</f>
        <v/>
      </c>
    </row>
    <row r="27">
      <c r="A27" s="5" t="inlineStr">
        <is>
          <t>Solar Energy Revenue (BBD)</t>
        </is>
      </c>
      <c r="B27" s="5" t="inlineStr">
        <is>
          <t>BBD</t>
        </is>
      </c>
      <c r="C27" s="12" t="n">
        <v>0</v>
      </c>
      <c r="D27" s="12" t="n">
        <v>0</v>
      </c>
      <c r="E27" s="12" t="n">
        <v>300000</v>
      </c>
      <c r="F27" s="12" t="n">
        <v>600000</v>
      </c>
      <c r="G27" s="13">
        <f>SUM(C27:F27)</f>
        <v/>
      </c>
    </row>
    <row r="28">
      <c r="A28" s="14" t="inlineStr">
        <is>
          <t>TOTAL NON-RESIDENTIAL REVENUE (BBD)</t>
        </is>
      </c>
      <c r="B28" s="14" t="inlineStr">
        <is>
          <t>BBD</t>
        </is>
      </c>
      <c r="C28" s="16">
        <f>SUM(C23:C27)</f>
        <v/>
      </c>
      <c r="D28" s="16">
        <f>SUM(D23:D27)</f>
        <v/>
      </c>
      <c r="E28" s="16">
        <f>SUM(E23:E27)</f>
        <v/>
      </c>
      <c r="F28" s="16">
        <f>SUM(F23:F27)</f>
        <v/>
      </c>
      <c r="G28" s="16">
        <f>SUM(G23:G27)</f>
        <v/>
      </c>
    </row>
    <row r="30">
      <c r="A30" s="3" t="inlineStr">
        <is>
          <t>TOTAL PROJECT REVENUE</t>
        </is>
      </c>
      <c r="B30" s="4" t="n"/>
      <c r="C30" s="4" t="n"/>
      <c r="D30" s="4" t="n"/>
      <c r="E30" s="4" t="n"/>
      <c r="F30" s="4" t="n"/>
      <c r="G30" s="4" t="n"/>
    </row>
    <row r="31">
      <c r="A31" s="14" t="inlineStr">
        <is>
          <t>GROSS DEVELOPMENT VALUE (BBD)</t>
        </is>
      </c>
      <c r="B31" s="14" t="inlineStr">
        <is>
          <t>BBD</t>
        </is>
      </c>
      <c r="C31" s="16">
        <f>C19+C28</f>
        <v/>
      </c>
      <c r="D31" s="16">
        <f>D19+D28</f>
        <v/>
      </c>
      <c r="E31" s="16">
        <f>E19+E28</f>
        <v/>
      </c>
      <c r="F31" s="16">
        <f>F19+F28</f>
        <v/>
      </c>
      <c r="G31" s="16">
        <f>G19+G28</f>
        <v/>
      </c>
    </row>
    <row r="32">
      <c r="A32" s="14" t="inlineStr">
        <is>
          <t>GROSS DEVELOPMENT VALUE (USD)</t>
        </is>
      </c>
      <c r="B32" s="14" t="inlineStr">
        <is>
          <t>USD</t>
        </is>
      </c>
      <c r="C32" s="21">
        <f>C31/Assumptions!B14</f>
        <v/>
      </c>
      <c r="D32" s="21">
        <f>D31/Assumptions!B14</f>
        <v/>
      </c>
      <c r="E32" s="21">
        <f>E31/Assumptions!B14</f>
        <v/>
      </c>
      <c r="F32" s="21">
        <f>F31/Assumptions!B14</f>
        <v/>
      </c>
      <c r="G32" s="21">
        <f>G31/Assumptions!B14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MOUNT BREVITOR ESTATE DEVELOPMENT</t>
        </is>
      </c>
    </row>
    <row r="2">
      <c r="A2" s="2" t="inlineStr">
        <is>
          <t>Cost Model | BBD Primary | Base Case: BCQS 2025 Benchmark | v2.0</t>
        </is>
      </c>
    </row>
    <row r="4">
      <c r="A4" s="11" t="inlineStr">
        <is>
          <t>Cost Line</t>
        </is>
      </c>
      <c r="B4" s="11" t="inlineStr">
        <is>
          <t>Unit</t>
        </is>
      </c>
      <c r="C4" s="11" t="inlineStr">
        <is>
          <t>2025</t>
        </is>
      </c>
      <c r="D4" s="11" t="inlineStr">
        <is>
          <t>2026</t>
        </is>
      </c>
      <c r="E4" s="11" t="inlineStr">
        <is>
          <t>2027</t>
        </is>
      </c>
      <c r="F4" s="11" t="inlineStr">
        <is>
          <t>2028</t>
        </is>
      </c>
      <c r="G4" s="11" t="inlineStr">
        <is>
          <t>Total</t>
        </is>
      </c>
    </row>
    <row r="5">
      <c r="A5" s="3" t="inlineStr">
        <is>
          <t>LAND ACQUISITION (BBD)</t>
        </is>
      </c>
      <c r="B5" s="4" t="n"/>
      <c r="C5" s="4" t="n"/>
      <c r="D5" s="4" t="n"/>
      <c r="E5" s="4" t="n"/>
      <c r="F5" s="4" t="n"/>
      <c r="G5" s="4" t="n"/>
    </row>
    <row r="6">
      <c r="A6" s="5" t="inlineStr">
        <is>
          <t>Land Purchase</t>
        </is>
      </c>
      <c r="B6" s="5" t="inlineStr">
        <is>
          <t>BBD</t>
        </is>
      </c>
      <c r="C6" s="12" t="n">
        <v>9000000</v>
      </c>
      <c r="D6" s="12" t="n">
        <v>0</v>
      </c>
      <c r="E6" s="12" t="n">
        <v>0</v>
      </c>
      <c r="F6" s="12" t="n">
        <v>0</v>
      </c>
      <c r="G6" s="13">
        <f>SUM(C6:F6)</f>
        <v/>
      </c>
    </row>
    <row r="7">
      <c r="A7" s="5" t="inlineStr">
        <is>
          <t>Stamp Duty and Legal</t>
        </is>
      </c>
      <c r="B7" s="5" t="inlineStr">
        <is>
          <t>BBD</t>
        </is>
      </c>
      <c r="C7" s="12" t="n">
        <v>450000</v>
      </c>
      <c r="D7" s="12" t="n">
        <v>0</v>
      </c>
      <c r="E7" s="12" t="n">
        <v>0</v>
      </c>
      <c r="F7" s="12" t="n">
        <v>0</v>
      </c>
      <c r="G7" s="13">
        <f>SUM(C7:F7)</f>
        <v/>
      </c>
    </row>
    <row r="8">
      <c r="A8" s="14" t="inlineStr">
        <is>
          <t>Total Land Cost</t>
        </is>
      </c>
      <c r="B8" s="7" t="n"/>
      <c r="C8" s="16">
        <f>SUM(C6:C7)</f>
        <v/>
      </c>
      <c r="D8" s="16">
        <f>SUM(D6:D7)</f>
        <v/>
      </c>
      <c r="E8" s="16">
        <f>SUM(E6:E7)</f>
        <v/>
      </c>
      <c r="F8" s="16">
        <f>SUM(F6:F7)</f>
        <v/>
      </c>
      <c r="G8" s="16">
        <f>SUM(G6:G7)</f>
        <v/>
      </c>
    </row>
    <row r="10">
      <c r="A10" s="3" t="inlineStr">
        <is>
          <t>CONSTRUCTION COSTS - BASE CASE (BBD)</t>
        </is>
      </c>
      <c r="B10" s="4" t="n"/>
      <c r="C10" s="4" t="n"/>
      <c r="D10" s="4" t="n"/>
      <c r="E10" s="4" t="n"/>
      <c r="F10" s="4" t="n"/>
      <c r="G10" s="22" t="inlineStr">
        <is>
          <t>BCQS 2025 benchmark rates, NO developer savings</t>
        </is>
      </c>
    </row>
    <row r="11">
      <c r="A11" s="5" t="inlineStr">
        <is>
          <t>1-Bed Condo Construction</t>
        </is>
      </c>
      <c r="B11" s="12" t="n">
        <v>206250</v>
      </c>
      <c r="C11" s="20">
        <f>'Revenue Model'!C6*B11</f>
        <v/>
      </c>
      <c r="D11" s="20">
        <f>'Revenue Model'!D6*B11</f>
        <v/>
      </c>
      <c r="E11" s="20">
        <f>'Revenue Model'!E6*B11</f>
        <v/>
      </c>
      <c r="F11" s="20">
        <f>'Revenue Model'!F6*B11</f>
        <v/>
      </c>
      <c r="G11" s="13">
        <f>SUM(C11:F11)</f>
        <v/>
      </c>
    </row>
    <row r="12">
      <c r="A12" s="5" t="inlineStr">
        <is>
          <t>2-Bed Townhouse Construction</t>
        </is>
      </c>
      <c r="B12" s="12" t="n">
        <v>330000</v>
      </c>
      <c r="C12" s="20">
        <f>'Revenue Model'!C7*B12</f>
        <v/>
      </c>
      <c r="D12" s="20">
        <f>'Revenue Model'!D7*B12</f>
        <v/>
      </c>
      <c r="E12" s="20">
        <f>'Revenue Model'!E7*B12</f>
        <v/>
      </c>
      <c r="F12" s="20">
        <f>'Revenue Model'!F7*B12</f>
        <v/>
      </c>
      <c r="G12" s="13">
        <f>SUM(C12:F12)</f>
        <v/>
      </c>
    </row>
    <row r="13">
      <c r="A13" s="5" t="inlineStr">
        <is>
          <t>3-Bed Townhouse Construction</t>
        </is>
      </c>
      <c r="B13" s="12" t="n">
        <v>507500</v>
      </c>
      <c r="C13" s="20">
        <f>'Revenue Model'!C8*B13</f>
        <v/>
      </c>
      <c r="D13" s="20">
        <f>'Revenue Model'!D8*B13</f>
        <v/>
      </c>
      <c r="E13" s="20">
        <f>'Revenue Model'!E8*B13</f>
        <v/>
      </c>
      <c r="F13" s="20">
        <f>'Revenue Model'!F8*B13</f>
        <v/>
      </c>
      <c r="G13" s="13">
        <f>SUM(C13:F13)</f>
        <v/>
      </c>
    </row>
    <row r="14">
      <c r="A14" s="5" t="inlineStr">
        <is>
          <t>4-Bed Home Construction</t>
        </is>
      </c>
      <c r="B14" s="12" t="n">
        <v>800000</v>
      </c>
      <c r="C14" s="20">
        <f>'Revenue Model'!C9*B14</f>
        <v/>
      </c>
      <c r="D14" s="20">
        <f>'Revenue Model'!D9*B14</f>
        <v/>
      </c>
      <c r="E14" s="20">
        <f>'Revenue Model'!E9*B14</f>
        <v/>
      </c>
      <c r="F14" s="20">
        <f>'Revenue Model'!F9*B14</f>
        <v/>
      </c>
      <c r="G14" s="13">
        <f>SUM(C14:F14)</f>
        <v/>
      </c>
    </row>
    <row r="15">
      <c r="A15" s="5" t="inlineStr">
        <is>
          <t>5-Bed Estate Home Construction</t>
        </is>
      </c>
      <c r="B15" s="12" t="n">
        <v>1260000</v>
      </c>
      <c r="C15" s="20">
        <f>'Revenue Model'!C10*B15</f>
        <v/>
      </c>
      <c r="D15" s="20">
        <f>'Revenue Model'!D10*B15</f>
        <v/>
      </c>
      <c r="E15" s="20">
        <f>'Revenue Model'!E10*B15</f>
        <v/>
      </c>
      <c r="F15" s="20">
        <f>'Revenue Model'!F10*B15</f>
        <v/>
      </c>
      <c r="G15" s="13">
        <f>SUM(C15:F15)</f>
        <v/>
      </c>
    </row>
    <row r="16">
      <c r="A16" s="14" t="inlineStr">
        <is>
          <t>Total Construction Cost (Base)</t>
        </is>
      </c>
      <c r="B16" s="7" t="n"/>
      <c r="C16" s="16">
        <f>SUM(C11:C15)</f>
        <v/>
      </c>
      <c r="D16" s="16">
        <f>SUM(D11:D15)</f>
        <v/>
      </c>
      <c r="E16" s="16">
        <f>SUM(E11:E15)</f>
        <v/>
      </c>
      <c r="F16" s="16">
        <f>SUM(F11:F15)</f>
        <v/>
      </c>
      <c r="G16" s="16">
        <f>SUM(G11:G15)</f>
        <v/>
      </c>
    </row>
    <row r="18">
      <c r="A18" s="3" t="inlineStr">
        <is>
          <t>INFRASTRUCTURE AND SITE WORKS (BBD)</t>
        </is>
      </c>
      <c r="B18" s="4" t="n"/>
      <c r="C18" s="4" t="n"/>
      <c r="D18" s="4" t="n"/>
      <c r="E18" s="4" t="n"/>
      <c r="F18" s="4" t="n"/>
      <c r="G18" s="4" t="n"/>
    </row>
    <row r="19">
      <c r="A19" s="5" t="inlineStr">
        <is>
          <t>Site Preparation (120 acres)</t>
        </is>
      </c>
      <c r="B19" s="5" t="inlineStr">
        <is>
          <t>BBD</t>
        </is>
      </c>
      <c r="C19" s="12" t="n">
        <v>2400000</v>
      </c>
      <c r="D19" s="12" t="n">
        <v>2400000</v>
      </c>
      <c r="E19" s="12" t="n">
        <v>0</v>
      </c>
      <c r="F19" s="12" t="n">
        <v>0</v>
      </c>
      <c r="G19" s="13">
        <f>SUM(C19:F19)</f>
        <v/>
      </c>
    </row>
    <row r="20">
      <c r="A20" s="5" t="inlineStr">
        <is>
          <t>Roads and Access</t>
        </is>
      </c>
      <c r="B20" s="5" t="inlineStr">
        <is>
          <t>BBD</t>
        </is>
      </c>
      <c r="C20" s="12" t="n">
        <v>1000000</v>
      </c>
      <c r="D20" s="12" t="n">
        <v>3000000</v>
      </c>
      <c r="E20" s="12" t="n">
        <v>2000000</v>
      </c>
      <c r="F20" s="12" t="n">
        <v>0</v>
      </c>
      <c r="G20" s="13">
        <f>SUM(C20:F20)</f>
        <v/>
      </c>
    </row>
    <row r="21">
      <c r="A21" s="5" t="inlineStr">
        <is>
          <t>Water Treatment Plant</t>
        </is>
      </c>
      <c r="B21" s="5" t="inlineStr">
        <is>
          <t>BBD</t>
        </is>
      </c>
      <c r="C21" s="12" t="n">
        <v>0</v>
      </c>
      <c r="D21" s="12" t="n">
        <v>5000000</v>
      </c>
      <c r="E21" s="12" t="n">
        <v>1000000</v>
      </c>
      <c r="F21" s="12" t="n">
        <v>0</v>
      </c>
      <c r="G21" s="13">
        <f>SUM(C21:F21)</f>
        <v/>
      </c>
    </row>
    <row r="22">
      <c r="A22" s="5" t="inlineStr">
        <is>
          <t>Sewage System</t>
        </is>
      </c>
      <c r="B22" s="5" t="inlineStr">
        <is>
          <t>BBD</t>
        </is>
      </c>
      <c r="C22" s="12" t="n">
        <v>0</v>
      </c>
      <c r="D22" s="12" t="n">
        <v>4000000</v>
      </c>
      <c r="E22" s="12" t="n">
        <v>1000000</v>
      </c>
      <c r="F22" s="12" t="n">
        <v>0</v>
      </c>
      <c r="G22" s="13">
        <f>SUM(C22:F22)</f>
        <v/>
      </c>
    </row>
    <row r="23">
      <c r="A23" s="5" t="inlineStr">
        <is>
          <t>Electrical and Solar</t>
        </is>
      </c>
      <c r="B23" s="5" t="inlineStr">
        <is>
          <t>BBD</t>
        </is>
      </c>
      <c r="C23" s="12" t="n">
        <v>500000</v>
      </c>
      <c r="D23" s="12" t="n">
        <v>2000000</v>
      </c>
      <c r="E23" s="12" t="n">
        <v>2000000</v>
      </c>
      <c r="F23" s="12" t="n">
        <v>1000000</v>
      </c>
      <c r="G23" s="13">
        <f>SUM(C23:F23)</f>
        <v/>
      </c>
    </row>
    <row r="24">
      <c r="A24" s="5" t="inlineStr">
        <is>
          <t>Community Amenities</t>
        </is>
      </c>
      <c r="B24" s="5" t="inlineStr">
        <is>
          <t>BBD</t>
        </is>
      </c>
      <c r="C24" s="12" t="n">
        <v>0</v>
      </c>
      <c r="D24" s="12" t="n">
        <v>1000000</v>
      </c>
      <c r="E24" s="12" t="n">
        <v>3000000</v>
      </c>
      <c r="F24" s="12" t="n">
        <v>2000000</v>
      </c>
      <c r="G24" s="13">
        <f>SUM(C24:F24)</f>
        <v/>
      </c>
    </row>
    <row r="25">
      <c r="A25" s="14" t="inlineStr">
        <is>
          <t>Total Infrastructure</t>
        </is>
      </c>
      <c r="B25" s="7" t="n"/>
      <c r="C25" s="16">
        <f>SUM(C19:C24)</f>
        <v/>
      </c>
      <c r="D25" s="16">
        <f>SUM(D19:D24)</f>
        <v/>
      </c>
      <c r="E25" s="16">
        <f>SUM(E19:E24)</f>
        <v/>
      </c>
      <c r="F25" s="16">
        <f>SUM(F19:F24)</f>
        <v/>
      </c>
      <c r="G25" s="16">
        <f>SUM(G19:G24)</f>
        <v/>
      </c>
    </row>
    <row r="27">
      <c r="A27" s="3" t="inlineStr">
        <is>
          <t>PROFESSIONAL FEES AND SOFT COSTS (BBD)</t>
        </is>
      </c>
      <c r="B27" s="4" t="n"/>
      <c r="C27" s="4" t="n"/>
      <c r="D27" s="4" t="n"/>
      <c r="E27" s="4" t="n"/>
      <c r="F27" s="4" t="n"/>
      <c r="G27" s="4" t="n"/>
    </row>
    <row r="28">
      <c r="A28" s="5" t="inlineStr">
        <is>
          <t>Architectural and Design</t>
        </is>
      </c>
      <c r="B28" s="5" t="inlineStr">
        <is>
          <t>BBD</t>
        </is>
      </c>
      <c r="C28" s="12" t="n">
        <v>2000000</v>
      </c>
      <c r="D28" s="12" t="n">
        <v>1000000</v>
      </c>
      <c r="E28" s="12" t="n">
        <v>500000</v>
      </c>
      <c r="F28" s="12" t="n">
        <v>0</v>
      </c>
      <c r="G28" s="13">
        <f>SUM(C28:F28)</f>
        <v/>
      </c>
    </row>
    <row r="29">
      <c r="A29" s="5" t="inlineStr">
        <is>
          <t>Engineering and Surveys</t>
        </is>
      </c>
      <c r="B29" s="5" t="inlineStr">
        <is>
          <t>BBD</t>
        </is>
      </c>
      <c r="C29" s="12" t="n">
        <v>800000</v>
      </c>
      <c r="D29" s="12" t="n">
        <v>400000</v>
      </c>
      <c r="E29" s="12" t="n">
        <v>200000</v>
      </c>
      <c r="F29" s="12" t="n">
        <v>0</v>
      </c>
      <c r="G29" s="13">
        <f>SUM(C29:F29)</f>
        <v/>
      </c>
    </row>
    <row r="30">
      <c r="A30" s="5" t="inlineStr">
        <is>
          <t>Legal and Planning</t>
        </is>
      </c>
      <c r="B30" s="5" t="inlineStr">
        <is>
          <t>BBD</t>
        </is>
      </c>
      <c r="C30" s="12" t="n">
        <v>600000</v>
      </c>
      <c r="D30" s="12" t="n">
        <v>300000</v>
      </c>
      <c r="E30" s="12" t="n">
        <v>200000</v>
      </c>
      <c r="F30" s="12" t="n">
        <v>100000</v>
      </c>
      <c r="G30" s="13">
        <f>SUM(C30:F30)</f>
        <v/>
      </c>
    </row>
    <row r="31">
      <c r="A31" s="5" t="inlineStr">
        <is>
          <t>Marketing and Sales</t>
        </is>
      </c>
      <c r="B31" s="5" t="inlineStr">
        <is>
          <t>BBD</t>
        </is>
      </c>
      <c r="C31" s="12" t="n">
        <v>1500000</v>
      </c>
      <c r="D31" s="12" t="n">
        <v>3000000</v>
      </c>
      <c r="E31" s="12" t="n">
        <v>2500000</v>
      </c>
      <c r="F31" s="12" t="n">
        <v>1500000</v>
      </c>
      <c r="G31" s="13">
        <f>SUM(C31:F31)</f>
        <v/>
      </c>
    </row>
    <row r="32">
      <c r="A32" s="5" t="inlineStr">
        <is>
          <t>Project Management</t>
        </is>
      </c>
      <c r="B32" s="5" t="inlineStr">
        <is>
          <t>BBD</t>
        </is>
      </c>
      <c r="C32" s="12" t="n">
        <v>800000</v>
      </c>
      <c r="D32" s="12" t="n">
        <v>1200000</v>
      </c>
      <c r="E32" s="12" t="n">
        <v>1000000</v>
      </c>
      <c r="F32" s="12" t="n">
        <v>600000</v>
      </c>
      <c r="G32" s="13">
        <f>SUM(C32:F32)</f>
        <v/>
      </c>
    </row>
    <row r="33">
      <c r="A33" s="5" t="inlineStr">
        <is>
          <t>Insurance</t>
        </is>
      </c>
      <c r="B33" s="5" t="inlineStr">
        <is>
          <t>BBD</t>
        </is>
      </c>
      <c r="C33" s="12" t="n">
        <v>300000</v>
      </c>
      <c r="D33" s="12" t="n">
        <v>600000</v>
      </c>
      <c r="E33" s="12" t="n">
        <v>600000</v>
      </c>
      <c r="F33" s="12" t="n">
        <v>400000</v>
      </c>
      <c r="G33" s="13">
        <f>SUM(C33:F33)</f>
        <v/>
      </c>
    </row>
    <row r="34">
      <c r="A34" s="5" t="inlineStr">
        <is>
          <t>Contingency (10%)</t>
        </is>
      </c>
      <c r="B34" s="5" t="inlineStr">
        <is>
          <t>BBD</t>
        </is>
      </c>
      <c r="C34" s="20">
        <f>(C16+C25)*Assumptions!B42</f>
        <v/>
      </c>
      <c r="D34" s="20">
        <f>(D16+D25)*Assumptions!B42</f>
        <v/>
      </c>
      <c r="E34" s="20">
        <f>(E16+E25)*Assumptions!B42</f>
        <v/>
      </c>
      <c r="F34" s="20">
        <f>(F16+F25)*Assumptions!B42</f>
        <v/>
      </c>
      <c r="G34" s="13">
        <f>SUM(C34:F34)</f>
        <v/>
      </c>
    </row>
    <row r="35">
      <c r="A35" s="14" t="inlineStr">
        <is>
          <t>Total Soft Costs</t>
        </is>
      </c>
      <c r="B35" s="7" t="n"/>
      <c r="C35" s="16">
        <f>SUM(C28:C34)</f>
        <v/>
      </c>
      <c r="D35" s="16">
        <f>SUM(D28:D34)</f>
        <v/>
      </c>
      <c r="E35" s="16">
        <f>SUM(E28:E34)</f>
        <v/>
      </c>
      <c r="F35" s="16">
        <f>SUM(F28:F34)</f>
        <v/>
      </c>
      <c r="G35" s="16">
        <f>SUM(G28:G34)</f>
        <v/>
      </c>
    </row>
    <row r="37">
      <c r="A37" s="3" t="inlineStr">
        <is>
          <t>FINANCING COSTS (BBD)</t>
        </is>
      </c>
      <c r="B37" s="4" t="n"/>
      <c r="C37" s="4" t="n"/>
      <c r="D37" s="4" t="n"/>
      <c r="E37" s="4" t="n"/>
      <c r="F37" s="4" t="n"/>
      <c r="G37" s="4" t="n"/>
    </row>
    <row r="38">
      <c r="A38" s="5" t="inlineStr">
        <is>
          <t>Interest on Facility (at stated 5%)</t>
        </is>
      </c>
      <c r="B38" s="5" t="inlineStr">
        <is>
          <t>BBD</t>
        </is>
      </c>
      <c r="C38" s="12" t="n">
        <v>375000</v>
      </c>
      <c r="D38" s="12" t="n">
        <v>2705000</v>
      </c>
      <c r="E38" s="12" t="n">
        <v>5060000</v>
      </c>
      <c r="F38" s="12" t="n">
        <v>5585000</v>
      </c>
      <c r="G38" s="13">
        <f>SUM(C38:F38)</f>
        <v/>
      </c>
    </row>
    <row r="39">
      <c r="A39" s="5" t="inlineStr">
        <is>
          <t>Interest on Facility (at market 7.5%)</t>
        </is>
      </c>
      <c r="B39" s="5" t="inlineStr">
        <is>
          <t>BBD</t>
        </is>
      </c>
      <c r="C39" s="12" t="n">
        <v>562500</v>
      </c>
      <c r="D39" s="12" t="n">
        <v>4057500</v>
      </c>
      <c r="E39" s="12" t="n">
        <v>7590000</v>
      </c>
      <c r="F39" s="12" t="n">
        <v>8377500</v>
      </c>
      <c r="G39" s="13">
        <f>SUM(C39:F39)</f>
        <v/>
      </c>
    </row>
    <row r="40">
      <c r="A40" s="5" t="inlineStr">
        <is>
          <t>Loan Arrangement Fee (est. 1%)</t>
        </is>
      </c>
      <c r="B40" s="5" t="inlineStr">
        <is>
          <t>BBD</t>
        </is>
      </c>
      <c r="C40" s="12" t="n">
        <v>1140000</v>
      </c>
      <c r="D40" s="12" t="n">
        <v>0</v>
      </c>
      <c r="E40" s="12" t="n">
        <v>0</v>
      </c>
      <c r="F40" s="12" t="n">
        <v>0</v>
      </c>
      <c r="G40" s="13">
        <f>SUM(C40:F40)</f>
        <v/>
      </c>
    </row>
    <row r="41">
      <c r="A41" s="14" t="inlineStr">
        <is>
          <t>Total Financing Cost (at 5%)</t>
        </is>
      </c>
      <c r="B41" s="7" t="n"/>
      <c r="C41" s="16">
        <f>C38+C40</f>
        <v/>
      </c>
      <c r="D41" s="16">
        <f>D38+D40</f>
        <v/>
      </c>
      <c r="E41" s="16">
        <f>E38+E40</f>
        <v/>
      </c>
      <c r="F41" s="16">
        <f>F38+F40</f>
        <v/>
      </c>
      <c r="G41" s="16">
        <f>G38+G40</f>
        <v/>
      </c>
    </row>
    <row r="43">
      <c r="A43" s="3" t="inlineStr">
        <is>
          <t>TOTAL DEVELOPMENT COST SUMMARY (BBD)</t>
        </is>
      </c>
      <c r="B43" s="4" t="n"/>
      <c r="C43" s="4" t="n"/>
      <c r="D43" s="4" t="n"/>
      <c r="E43" s="4" t="n"/>
      <c r="F43" s="4" t="n"/>
      <c r="G43" s="4" t="n"/>
    </row>
    <row r="44">
      <c r="A44" s="5" t="inlineStr">
        <is>
          <t>Land Acquisition</t>
        </is>
      </c>
      <c r="B44" s="7" t="n"/>
      <c r="C44" s="13">
        <f>C8</f>
        <v/>
      </c>
      <c r="D44" s="13">
        <f>D8</f>
        <v/>
      </c>
      <c r="E44" s="13">
        <f>E8</f>
        <v/>
      </c>
      <c r="F44" s="13">
        <f>F8</f>
        <v/>
      </c>
      <c r="G44" s="13">
        <f>G8</f>
        <v/>
      </c>
    </row>
    <row r="45">
      <c r="A45" s="5" t="inlineStr">
        <is>
          <t>Construction (Base Case)</t>
        </is>
      </c>
      <c r="B45" s="7" t="n"/>
      <c r="C45" s="13">
        <f>C16</f>
        <v/>
      </c>
      <c r="D45" s="13">
        <f>D16</f>
        <v/>
      </c>
      <c r="E45" s="13">
        <f>E16</f>
        <v/>
      </c>
      <c r="F45" s="13">
        <f>F16</f>
        <v/>
      </c>
      <c r="G45" s="13">
        <f>G16</f>
        <v/>
      </c>
    </row>
    <row r="46">
      <c r="A46" s="5" t="inlineStr">
        <is>
          <t>Infrastructure</t>
        </is>
      </c>
      <c r="B46" s="7" t="n"/>
      <c r="C46" s="13">
        <f>C25</f>
        <v/>
      </c>
      <c r="D46" s="13">
        <f>D25</f>
        <v/>
      </c>
      <c r="E46" s="13">
        <f>E25</f>
        <v/>
      </c>
      <c r="F46" s="13">
        <f>F25</f>
        <v/>
      </c>
      <c r="G46" s="13">
        <f>G25</f>
        <v/>
      </c>
    </row>
    <row r="47">
      <c r="A47" s="5" t="inlineStr">
        <is>
          <t>Soft Costs and Fees</t>
        </is>
      </c>
      <c r="B47" s="7" t="n"/>
      <c r="C47" s="13">
        <f>C35</f>
        <v/>
      </c>
      <c r="D47" s="13">
        <f>D35</f>
        <v/>
      </c>
      <c r="E47" s="13">
        <f>E35</f>
        <v/>
      </c>
      <c r="F47" s="13">
        <f>F35</f>
        <v/>
      </c>
      <c r="G47" s="13">
        <f>G35</f>
        <v/>
      </c>
    </row>
    <row r="48">
      <c r="A48" s="5" t="inlineStr">
        <is>
          <t>Financing (at 5%)</t>
        </is>
      </c>
      <c r="B48" s="7" t="n"/>
      <c r="C48" s="13">
        <f>C41</f>
        <v/>
      </c>
      <c r="D48" s="13">
        <f>D41</f>
        <v/>
      </c>
      <c r="E48" s="13">
        <f>E41</f>
        <v/>
      </c>
      <c r="F48" s="13">
        <f>F41</f>
        <v/>
      </c>
      <c r="G48" s="13">
        <f>G41</f>
        <v/>
      </c>
    </row>
    <row r="49">
      <c r="A49" s="14" t="inlineStr">
        <is>
          <t>TOTAL DEVELOPMENT COST (BBD)</t>
        </is>
      </c>
      <c r="B49" s="7" t="n"/>
      <c r="C49" s="16">
        <f>SUM(C44:C48)</f>
        <v/>
      </c>
      <c r="D49" s="16">
        <f>SUM(D44:D48)</f>
        <v/>
      </c>
      <c r="E49" s="16">
        <f>SUM(E44:E48)</f>
        <v/>
      </c>
      <c r="F49" s="16">
        <f>SUM(F44:F48)</f>
        <v/>
      </c>
      <c r="G49" s="16">
        <f>SUM(G44:G48)</f>
        <v/>
      </c>
    </row>
    <row r="50">
      <c r="A50" s="14" t="inlineStr">
        <is>
          <t>TOTAL DEVELOPMENT COST (USD)</t>
        </is>
      </c>
      <c r="B50" s="7" t="n"/>
      <c r="C50" s="21">
        <f>C49/Assumptions!B14</f>
        <v/>
      </c>
      <c r="D50" s="21">
        <f>D49/Assumptions!B14</f>
        <v/>
      </c>
      <c r="E50" s="21">
        <f>E49/Assumptions!B14</f>
        <v/>
      </c>
      <c r="F50" s="21">
        <f>F49/Assumptions!B14</f>
        <v/>
      </c>
      <c r="G50" s="21">
        <f>G49/Assumptions!B14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MOUNT BREVITOR ESTATE DEVELOPMENT</t>
        </is>
      </c>
    </row>
    <row r="2">
      <c r="A2" s="2" t="inlineStr">
        <is>
          <t>Phased Cash Flow Model | BBD | v2.0</t>
        </is>
      </c>
    </row>
    <row r="4">
      <c r="A4" s="11" t="inlineStr">
        <is>
          <t>Cash Flow Item</t>
        </is>
      </c>
      <c r="B4" s="11" t="inlineStr">
        <is>
          <t>Unit</t>
        </is>
      </c>
      <c r="C4" s="11" t="inlineStr">
        <is>
          <t>2025</t>
        </is>
      </c>
      <c r="D4" s="11" t="inlineStr">
        <is>
          <t>2026</t>
        </is>
      </c>
      <c r="E4" s="11" t="inlineStr">
        <is>
          <t>2027</t>
        </is>
      </c>
      <c r="F4" s="11" t="inlineStr">
        <is>
          <t>2028</t>
        </is>
      </c>
      <c r="G4" s="11" t="inlineStr">
        <is>
          <t>Total</t>
        </is>
      </c>
    </row>
    <row r="5">
      <c r="A5" s="3" t="inlineStr">
        <is>
          <t>CASH INFLOWS (BBD)</t>
        </is>
      </c>
      <c r="B5" s="4" t="n"/>
      <c r="C5" s="4" t="n"/>
      <c r="D5" s="4" t="n"/>
      <c r="E5" s="4" t="n"/>
      <c r="F5" s="4" t="n"/>
      <c r="G5" s="4" t="n"/>
    </row>
    <row r="6">
      <c r="A6" s="5" t="inlineStr">
        <is>
          <t>Residential Sales Revenue</t>
        </is>
      </c>
      <c r="B6" s="5" t="inlineStr">
        <is>
          <t>BBD</t>
        </is>
      </c>
      <c r="C6" s="20">
        <f>'Revenue Model'!C19</f>
        <v/>
      </c>
      <c r="D6" s="20">
        <f>'Revenue Model'!D19</f>
        <v/>
      </c>
      <c r="E6" s="20">
        <f>'Revenue Model'!E19</f>
        <v/>
      </c>
      <c r="F6" s="20">
        <f>'Revenue Model'!F19</f>
        <v/>
      </c>
      <c r="G6" s="13">
        <f>SUM(C6:F6)</f>
        <v/>
      </c>
    </row>
    <row r="7">
      <c r="A7" s="5" t="inlineStr">
        <is>
          <t>Non-Residential Revenue</t>
        </is>
      </c>
      <c r="B7" s="5" t="inlineStr">
        <is>
          <t>BBD</t>
        </is>
      </c>
      <c r="C7" s="20">
        <f>'Revenue Model'!C28</f>
        <v/>
      </c>
      <c r="D7" s="20">
        <f>'Revenue Model'!D28</f>
        <v/>
      </c>
      <c r="E7" s="20">
        <f>'Revenue Model'!E28</f>
        <v/>
      </c>
      <c r="F7" s="20">
        <f>'Revenue Model'!F28</f>
        <v/>
      </c>
      <c r="G7" s="13">
        <f>SUM(C7:F7)</f>
        <v/>
      </c>
    </row>
    <row r="8">
      <c r="A8" s="5" t="inlineStr">
        <is>
          <t>Loan Facility Draws</t>
        </is>
      </c>
      <c r="B8" s="5" t="inlineStr">
        <is>
          <t>BBD</t>
        </is>
      </c>
      <c r="C8" s="12" t="n">
        <v>15000000</v>
      </c>
      <c r="D8" s="12" t="n">
        <v>78200000</v>
      </c>
      <c r="E8" s="12" t="n">
        <v>16000000</v>
      </c>
      <c r="F8" s="12" t="n">
        <v>5000000</v>
      </c>
      <c r="G8" s="13">
        <f>SUM(C8:F8)</f>
        <v/>
      </c>
    </row>
    <row r="9">
      <c r="A9" s="14" t="inlineStr">
        <is>
          <t>TOTAL CASH INFLOWS</t>
        </is>
      </c>
      <c r="B9" s="7" t="n"/>
      <c r="C9" s="16">
        <f>C6+C7+C8</f>
        <v/>
      </c>
      <c r="D9" s="16">
        <f>D6+D7+D8</f>
        <v/>
      </c>
      <c r="E9" s="16">
        <f>E6+E7+E8</f>
        <v/>
      </c>
      <c r="F9" s="16">
        <f>F6+F7+F8</f>
        <v/>
      </c>
      <c r="G9" s="16">
        <f>G6+G7+G8</f>
        <v/>
      </c>
    </row>
    <row r="11">
      <c r="A11" s="3" t="inlineStr">
        <is>
          <t>CASH OUTFLOWS (BBD)</t>
        </is>
      </c>
      <c r="B11" s="4" t="n"/>
      <c r="C11" s="4" t="n"/>
      <c r="D11" s="4" t="n"/>
      <c r="E11" s="4" t="n"/>
      <c r="F11" s="4" t="n"/>
      <c r="G11" s="4" t="n"/>
    </row>
    <row r="12">
      <c r="A12" s="5" t="inlineStr">
        <is>
          <t>Total Development Cost</t>
        </is>
      </c>
      <c r="B12" s="5" t="inlineStr">
        <is>
          <t>BBD</t>
        </is>
      </c>
      <c r="C12" s="20">
        <f>'Cost Model'!C49</f>
        <v/>
      </c>
      <c r="D12" s="20">
        <f>'Cost Model'!D49</f>
        <v/>
      </c>
      <c r="E12" s="20">
        <f>'Cost Model'!E49</f>
        <v/>
      </c>
      <c r="F12" s="20">
        <f>'Cost Model'!F49</f>
        <v/>
      </c>
      <c r="G12" s="13">
        <f>SUM(C12:F12)</f>
        <v/>
      </c>
    </row>
    <row r="13">
      <c r="A13" s="5" t="inlineStr">
        <is>
          <t>Loan Repayments</t>
        </is>
      </c>
      <c r="B13" s="5" t="inlineStr">
        <is>
          <t>BBD</t>
        </is>
      </c>
      <c r="C13" s="12" t="n">
        <v>0</v>
      </c>
      <c r="D13" s="12" t="n">
        <v>0</v>
      </c>
      <c r="E13" s="12" t="n">
        <v>20000000</v>
      </c>
      <c r="F13" s="12" t="n">
        <v>94200000</v>
      </c>
      <c r="G13" s="13">
        <f>SUM(C13:F13)</f>
        <v/>
      </c>
    </row>
    <row r="14">
      <c r="A14" s="14" t="inlineStr">
        <is>
          <t>TOTAL CASH OUTFLOWS</t>
        </is>
      </c>
      <c r="B14" s="7" t="n"/>
      <c r="C14" s="16">
        <f>C12+C13</f>
        <v/>
      </c>
      <c r="D14" s="16">
        <f>D12+D13</f>
        <v/>
      </c>
      <c r="E14" s="16">
        <f>E12+E13</f>
        <v/>
      </c>
      <c r="F14" s="16">
        <f>F12+F13</f>
        <v/>
      </c>
      <c r="G14" s="16">
        <f>G12+G13</f>
        <v/>
      </c>
    </row>
    <row r="16">
      <c r="A16" s="3" t="inlineStr">
        <is>
          <t>NET CASH POSITION</t>
        </is>
      </c>
      <c r="B16" s="4" t="n"/>
      <c r="C16" s="4" t="n"/>
      <c r="D16" s="4" t="n"/>
      <c r="E16" s="4" t="n"/>
      <c r="F16" s="4" t="n"/>
      <c r="G16" s="4" t="n"/>
    </row>
    <row r="17">
      <c r="A17" s="14" t="inlineStr">
        <is>
          <t>Net Cash Flow (Annual)</t>
        </is>
      </c>
      <c r="B17" s="14" t="inlineStr">
        <is>
          <t>BBD</t>
        </is>
      </c>
      <c r="C17" s="16">
        <f>C9-C14</f>
        <v/>
      </c>
      <c r="D17" s="16">
        <f>D9-D14</f>
        <v/>
      </c>
      <c r="E17" s="16">
        <f>E9-E14</f>
        <v/>
      </c>
      <c r="F17" s="16">
        <f>F9-F14</f>
        <v/>
      </c>
      <c r="G17" s="16">
        <f>G9-G14</f>
        <v/>
      </c>
    </row>
    <row r="18">
      <c r="A18" s="14" t="inlineStr">
        <is>
          <t>Cumulative Cash Position</t>
        </is>
      </c>
      <c r="B18" s="14" t="inlineStr">
        <is>
          <t>BBD</t>
        </is>
      </c>
      <c r="C18" s="16">
        <f>C17</f>
        <v/>
      </c>
      <c r="D18" s="16">
        <f>C18+D17</f>
        <v/>
      </c>
      <c r="E18" s="16">
        <f>D18+E17</f>
        <v/>
      </c>
      <c r="F18" s="16">
        <f>E18+F17</f>
        <v/>
      </c>
      <c r="G18" s="16">
        <f>F18</f>
        <v/>
      </c>
    </row>
    <row r="20">
      <c r="A20" s="23" t="inlineStr">
        <is>
          <t>Peak Negative Cash Position</t>
        </is>
      </c>
      <c r="B20" s="7" t="n"/>
      <c r="C20" s="16">
        <f>MIN(C18:F18)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  <col width="25" customWidth="1" min="5" max="5"/>
  </cols>
  <sheetData>
    <row r="1">
      <c r="A1" s="1" t="inlineStr">
        <is>
          <t>MOUNT BREVITOR ESTATE DEVELOPMENT</t>
        </is>
      </c>
    </row>
    <row r="2">
      <c r="A2" s="2" t="inlineStr">
        <is>
          <t>Consolidated Development Appraisal | v2.0</t>
        </is>
      </c>
    </row>
    <row r="4">
      <c r="A4" s="11" t="inlineStr">
        <is>
          <t>Metric</t>
        </is>
      </c>
      <c r="B4" s="11" t="inlineStr">
        <is>
          <t>BBD</t>
        </is>
      </c>
      <c r="C4" s="11" t="inlineStr">
        <is>
          <t>USD</t>
        </is>
      </c>
      <c r="D4" s="11" t="inlineStr">
        <is>
          <t>% of GDV</t>
        </is>
      </c>
      <c r="E4" s="11" t="inlineStr">
        <is>
          <t>Notes</t>
        </is>
      </c>
    </row>
    <row r="5">
      <c r="A5" s="14" t="inlineStr">
        <is>
          <t>Gross Development Value</t>
        </is>
      </c>
      <c r="B5" s="21">
        <f>'Revenue Model'!G31</f>
        <v/>
      </c>
      <c r="C5" s="20">
        <f>B5/Assumptions!B14</f>
        <v/>
      </c>
      <c r="D5" s="24" t="n">
        <v>1</v>
      </c>
      <c r="E5" s="8" t="inlineStr">
        <is>
          <t>Residential + non-residential</t>
        </is>
      </c>
    </row>
    <row r="6">
      <c r="A6" s="5" t="inlineStr">
        <is>
          <t>Land Acquisition</t>
        </is>
      </c>
      <c r="B6" s="20">
        <f>'Cost Model'!G8</f>
        <v/>
      </c>
      <c r="C6" s="20">
        <f>B6/Assumptions!B14</f>
        <v/>
      </c>
      <c r="D6" s="24">
        <f>B6/B5</f>
        <v/>
      </c>
      <c r="E6" s="8" t="inlineStr">
        <is>
          <t>Confirmed USD 4.5M</t>
        </is>
      </c>
    </row>
    <row r="7">
      <c r="A7" s="5" t="inlineStr">
        <is>
          <t>Construction (Base Case)</t>
        </is>
      </c>
      <c r="B7" s="20">
        <f>'Cost Model'!G16</f>
        <v/>
      </c>
      <c r="C7" s="20">
        <f>B7/Assumptions!B14</f>
        <v/>
      </c>
      <c r="D7" s="24">
        <f>B7/B5</f>
        <v/>
      </c>
      <c r="E7" s="8" t="inlineStr">
        <is>
          <t>BCQS 2025 rates</t>
        </is>
      </c>
    </row>
    <row r="8">
      <c r="A8" s="5" t="inlineStr">
        <is>
          <t>Infrastructure</t>
        </is>
      </c>
      <c r="B8" s="20">
        <f>'Cost Model'!G25</f>
        <v/>
      </c>
      <c r="C8" s="20">
        <f>B8/Assumptions!B14</f>
        <v/>
      </c>
      <c r="D8" s="24">
        <f>B8/B5</f>
        <v/>
      </c>
      <c r="E8" s="8" t="inlineStr">
        <is>
          <t>Roads, water, sewage, power</t>
        </is>
      </c>
    </row>
    <row r="9">
      <c r="A9" s="5" t="inlineStr">
        <is>
          <t>Professional Fees and Soft Costs</t>
        </is>
      </c>
      <c r="B9" s="20">
        <f>'Cost Model'!G35</f>
        <v/>
      </c>
      <c r="C9" s="20">
        <f>B9/Assumptions!B14</f>
        <v/>
      </c>
      <c r="D9" s="24">
        <f>B9/B5</f>
        <v/>
      </c>
      <c r="E9" s="8" t="inlineStr">
        <is>
          <t>Incl. 10% contingency</t>
        </is>
      </c>
    </row>
    <row r="10">
      <c r="A10" s="5" t="inlineStr">
        <is>
          <t>Financing (at 5%)</t>
        </is>
      </c>
      <c r="B10" s="20">
        <f>'Cost Model'!G41</f>
        <v/>
      </c>
      <c r="C10" s="20">
        <f>B10/Assumptions!B14</f>
        <v/>
      </c>
      <c r="D10" s="24">
        <f>B10/B5</f>
        <v/>
      </c>
      <c r="E10" s="8" t="inlineStr">
        <is>
          <t>FLAG: 5% below market</t>
        </is>
      </c>
    </row>
    <row r="11">
      <c r="A11" s="14" t="inlineStr">
        <is>
          <t>TOTAL DEVELOPMENT COST</t>
        </is>
      </c>
      <c r="B11" s="16">
        <f>SUM(B6:B10)</f>
        <v/>
      </c>
      <c r="C11" s="21">
        <f>B11/Assumptions!B14</f>
        <v/>
      </c>
      <c r="D11" s="25">
        <f>B11/B5</f>
        <v/>
      </c>
      <c r="E11" s="7" t="n"/>
    </row>
    <row r="12">
      <c r="A12" s="26" t="inlineStr">
        <is>
          <t>NET DEVELOPMENT PROFIT</t>
        </is>
      </c>
      <c r="B12" s="16">
        <f>B5-B11</f>
        <v/>
      </c>
      <c r="C12" s="21">
        <f>B12/Assumptions!B14</f>
        <v/>
      </c>
      <c r="D12" s="25">
        <f>B12/B5</f>
        <v/>
      </c>
      <c r="E12" s="7" t="n"/>
    </row>
    <row r="14">
      <c r="A14" s="3" t="inlineStr">
        <is>
          <t>KEY RETURN METRICS</t>
        </is>
      </c>
      <c r="B14" s="4" t="n"/>
      <c r="C14" s="4" t="n"/>
      <c r="D14" s="4" t="n"/>
      <c r="E14" s="4" t="n"/>
    </row>
    <row r="15">
      <c r="A15" s="5" t="inlineStr">
        <is>
          <t>Profit on GDV (%)</t>
        </is>
      </c>
      <c r="B15" s="27">
        <f>B12/B5</f>
        <v/>
      </c>
      <c r="C15" s="7" t="n"/>
      <c r="D15" s="7" t="n"/>
      <c r="E15" s="8" t="inlineStr">
        <is>
          <t>Target: 20%+ for institutional grade</t>
        </is>
      </c>
    </row>
    <row r="16">
      <c r="A16" s="5" t="inlineStr">
        <is>
          <t>Profit on Cost (%)</t>
        </is>
      </c>
      <c r="B16" s="27">
        <f>B12/B11</f>
        <v/>
      </c>
      <c r="C16" s="7" t="n"/>
      <c r="D16" s="7" t="n"/>
      <c r="E16" s="8" t="inlineStr">
        <is>
          <t>Target: 25%+ for risk-adjusted return</t>
        </is>
      </c>
    </row>
    <row r="17">
      <c r="A17" s="5" t="inlineStr">
        <is>
          <t>GDV per Acre (BBD)</t>
        </is>
      </c>
      <c r="B17" s="20">
        <f>B5/Assumptions!B6</f>
        <v/>
      </c>
      <c r="C17" s="7" t="n"/>
      <c r="D17" s="7" t="n"/>
      <c r="E17" s="8" t="inlineStr">
        <is>
          <t>120 acres</t>
        </is>
      </c>
    </row>
    <row r="18">
      <c r="A18" s="5" t="inlineStr">
        <is>
          <t>Cost per Unit (BBD, avg)</t>
        </is>
      </c>
      <c r="B18" s="20">
        <f>B11/Assumptions!F24</f>
        <v/>
      </c>
      <c r="C18" s="7" t="n"/>
      <c r="D18" s="7" t="n"/>
      <c r="E18" s="8" t="inlineStr">
        <is>
          <t>Total cost / total units</t>
        </is>
      </c>
    </row>
    <row r="19">
      <c r="A19" s="5" t="inlineStr">
        <is>
          <t>Revenue per Unit (BBD, avg)</t>
        </is>
      </c>
      <c r="B19" s="20">
        <f>B5/Assumptions!F24</f>
        <v/>
      </c>
      <c r="C19" s="7" t="n"/>
      <c r="D19" s="7" t="n"/>
      <c r="E19" s="8" t="inlineStr">
        <is>
          <t>GDV / total units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25" customWidth="1" min="6" max="6"/>
  </cols>
  <sheetData>
    <row r="1">
      <c r="A1" s="1" t="inlineStr">
        <is>
          <t>MOUNT BREVITOR ESTATE DEVELOPMENT</t>
        </is>
      </c>
    </row>
    <row r="2">
      <c r="A2" s="2" t="inlineStr">
        <is>
          <t>Sensitivity Analysis | Key Variable Impacts | v2.0</t>
        </is>
      </c>
    </row>
    <row r="4">
      <c r="A4" s="3" t="inlineStr">
        <is>
          <t>INTEREST RATE SENSITIVITY</t>
        </is>
      </c>
      <c r="B4" s="4" t="n"/>
      <c r="C4" s="4" t="n"/>
      <c r="D4" s="4" t="n"/>
      <c r="E4" s="4" t="n"/>
      <c r="F4" s="4" t="n"/>
    </row>
    <row r="5">
      <c r="A5" s="11" t="inlineStr">
        <is>
          <t>Scenario</t>
        </is>
      </c>
      <c r="B5" s="11" t="inlineStr">
        <is>
          <t>Interest Rate</t>
        </is>
      </c>
      <c r="C5" s="11" t="inlineStr">
        <is>
          <t>Annual Interest (BBD)</t>
        </is>
      </c>
      <c r="D5" s="11" t="inlineStr">
        <is>
          <t>4-Yr Total (BBD)</t>
        </is>
      </c>
      <c r="E5" s="11" t="inlineStr">
        <is>
          <t>Impact on Profit (BBD)</t>
        </is>
      </c>
      <c r="F5" s="11" t="inlineStr">
        <is>
          <t>Notes</t>
        </is>
      </c>
    </row>
    <row r="6">
      <c r="A6" s="5" t="inlineStr">
        <is>
          <t>Developer Stated</t>
        </is>
      </c>
      <c r="B6" s="18" t="n">
        <v>0.05</v>
      </c>
      <c r="C6" s="13">
        <f>80000000*B6</f>
        <v/>
      </c>
      <c r="D6" s="13">
        <f>C6*3.5</f>
        <v/>
      </c>
      <c r="E6" s="13" t="n">
        <v>0</v>
      </c>
      <c r="F6" s="8" t="inlineStr">
        <is>
          <t>Base case per developer</t>
        </is>
      </c>
    </row>
    <row r="7">
      <c r="A7" s="5" t="inlineStr">
        <is>
          <t>Market Low</t>
        </is>
      </c>
      <c r="B7" s="18" t="n">
        <v>0.06</v>
      </c>
      <c r="C7" s="13">
        <f>80000000*B7</f>
        <v/>
      </c>
      <c r="D7" s="13">
        <f>C7*3.5</f>
        <v/>
      </c>
      <c r="E7" s="13">
        <f>D7-D6</f>
        <v/>
      </c>
      <c r="F7" s="8" t="inlineStr">
        <is>
          <t>Bottom of Barbados commercial range</t>
        </is>
      </c>
    </row>
    <row r="8">
      <c r="A8" s="5" t="inlineStr">
        <is>
          <t>Market Mid</t>
        </is>
      </c>
      <c r="B8" s="18" t="n">
        <v>0.075</v>
      </c>
      <c r="C8" s="13">
        <f>80000000*B8</f>
        <v/>
      </c>
      <c r="D8" s="13">
        <f>C8*3.5</f>
        <v/>
      </c>
      <c r="E8" s="13">
        <f>D8-D6</f>
        <v/>
      </c>
      <c r="F8" s="8" t="inlineStr">
        <is>
          <t>Mid-point commercial range</t>
        </is>
      </c>
    </row>
    <row r="9">
      <c r="A9" s="5" t="inlineStr">
        <is>
          <t>Market High</t>
        </is>
      </c>
      <c r="B9" s="18" t="n">
        <v>0.09</v>
      </c>
      <c r="C9" s="13">
        <f>80000000*B9</f>
        <v/>
      </c>
      <c r="D9" s="13">
        <f>C9*3.5</f>
        <v/>
      </c>
      <c r="E9" s="13">
        <f>D9-D6</f>
        <v/>
      </c>
      <c r="F9" s="8" t="inlineStr">
        <is>
          <t>Top of Barbados commercial range</t>
        </is>
      </c>
    </row>
    <row r="11">
      <c r="A11" s="3" t="inlineStr">
        <is>
          <t>CONSTRUCTION COST SENSITIVITY</t>
        </is>
      </c>
      <c r="B11" s="4" t="n"/>
      <c r="C11" s="4" t="n"/>
      <c r="D11" s="4" t="n"/>
      <c r="E11" s="4" t="n"/>
      <c r="F11" s="4" t="n"/>
    </row>
    <row r="12">
      <c r="A12" s="11" t="inlineStr">
        <is>
          <t>Scenario</t>
        </is>
      </c>
      <c r="B12" s="11" t="inlineStr">
        <is>
          <t>Cost Adjustment</t>
        </is>
      </c>
      <c r="C12" s="11" t="inlineStr">
        <is>
          <t>Total Build Cost (BBD)</t>
        </is>
      </c>
      <c r="D12" s="11" t="inlineStr">
        <is>
          <t>Impact vs Base (BBD)</t>
        </is>
      </c>
      <c r="E12" s="11" t="inlineStr">
        <is>
          <t>Margin on GDV</t>
        </is>
      </c>
      <c r="F12" s="11" t="inlineStr">
        <is>
          <t>Notes</t>
        </is>
      </c>
    </row>
    <row r="13">
      <c r="A13" s="5" t="inlineStr">
        <is>
          <t>Developer Claimed (-25%)</t>
        </is>
      </c>
      <c r="B13" s="18" t="n">
        <v>-0.25</v>
      </c>
      <c r="C13" s="20">
        <f>'Cost Model'!G16*(1+B13)</f>
        <v/>
      </c>
      <c r="D13" s="13">
        <f>C13-C14</f>
        <v/>
      </c>
      <c r="E13" s="27">
        <f>('Revenue Model'!G31-('Development Appraisal'!B11-'Cost Model'!G16+C13))/'Revenue Model'!G31</f>
        <v/>
      </c>
      <c r="F13" s="8" t="inlineStr">
        <is>
          <t>Unverified proprietary savings</t>
        </is>
      </c>
    </row>
    <row r="14">
      <c r="A14" s="5" t="inlineStr">
        <is>
          <t>BCQS Base Case (0%)</t>
        </is>
      </c>
      <c r="B14" s="18" t="n">
        <v>0</v>
      </c>
      <c r="C14" s="20">
        <f>'Cost Model'!G16*(1+B14)</f>
        <v/>
      </c>
      <c r="D14" s="13" t="n">
        <v>0</v>
      </c>
      <c r="E14" s="27">
        <f>('Revenue Model'!G31-('Development Appraisal'!B11-'Cost Model'!G16+C14))/'Revenue Model'!G31</f>
        <v/>
      </c>
      <c r="F14" s="8" t="inlineStr">
        <is>
          <t>Independent benchmark</t>
        </is>
      </c>
    </row>
    <row r="15">
      <c r="A15" s="5" t="inlineStr">
        <is>
          <t>BCQS +10% Escalation</t>
        </is>
      </c>
      <c r="B15" s="18" t="n">
        <v>0.1</v>
      </c>
      <c r="C15" s="20">
        <f>'Cost Model'!G16*(1+B15)</f>
        <v/>
      </c>
      <c r="D15" s="13">
        <f>C15-C14</f>
        <v/>
      </c>
      <c r="E15" s="27">
        <f>('Revenue Model'!G31-('Development Appraisal'!B11-'Cost Model'!G16+C15))/'Revenue Model'!G31</f>
        <v/>
      </c>
      <c r="F15" s="8" t="inlineStr">
        <is>
          <t>Cost overrun scenario</t>
        </is>
      </c>
    </row>
    <row r="16">
      <c r="A16" s="5" t="inlineStr">
        <is>
          <t>BCQS +20% Escalation</t>
        </is>
      </c>
      <c r="B16" s="18" t="n">
        <v>0.2</v>
      </c>
      <c r="C16" s="20">
        <f>'Cost Model'!G16*(1+B16)</f>
        <v/>
      </c>
      <c r="D16" s="13">
        <f>C16-C14</f>
        <v/>
      </c>
      <c r="E16" s="27">
        <f>('Revenue Model'!G31-('Development Appraisal'!B11-'Cost Model'!G16+C16))/'Revenue Model'!G31</f>
        <v/>
      </c>
      <c r="F16" s="8" t="inlineStr">
        <is>
          <t>Severe cost overrun</t>
        </is>
      </c>
    </row>
    <row r="18">
      <c r="A18" s="3" t="inlineStr">
        <is>
          <t>ABSORPTION RATE SENSITIVITY</t>
        </is>
      </c>
      <c r="B18" s="4" t="n"/>
      <c r="C18" s="4" t="n"/>
      <c r="D18" s="4" t="n"/>
      <c r="E18" s="4" t="n"/>
      <c r="F18" s="4" t="n"/>
    </row>
    <row r="19">
      <c r="A19" s="11" t="inlineStr">
        <is>
          <t>Scenario</t>
        </is>
      </c>
      <c r="B19" s="11" t="inlineStr">
        <is>
          <t>Units/Year</t>
        </is>
      </c>
      <c r="C19" s="11" t="inlineStr">
        <is>
          <t>Sellout (Years)</t>
        </is>
      </c>
      <c r="D19" s="11" t="inlineStr">
        <is>
          <t>Additional Fin Cost (BBD)</t>
        </is>
      </c>
      <c r="E19" s="11" t="inlineStr">
        <is>
          <t>Impact on Profit</t>
        </is>
      </c>
      <c r="F19" s="11" t="inlineStr">
        <is>
          <t>Notes</t>
        </is>
      </c>
    </row>
    <row r="20">
      <c r="A20" s="5" t="inlineStr">
        <is>
          <t>Conservative</t>
        </is>
      </c>
      <c r="B20" s="6" t="n">
        <v>70</v>
      </c>
      <c r="C20" s="28">
        <f>355/B20</f>
        <v/>
      </c>
      <c r="D20" s="13">
        <f>(C20-C21)*80000000*0.05</f>
        <v/>
      </c>
      <c r="E20" s="13">
        <f>0-D20</f>
        <v/>
      </c>
      <c r="F20" s="8" t="inlineStr">
        <is>
          <t>Local demand only</t>
        </is>
      </c>
    </row>
    <row r="21">
      <c r="A21" s="5" t="inlineStr">
        <is>
          <t>Base Case</t>
        </is>
      </c>
      <c r="B21" s="6" t="n">
        <v>110</v>
      </c>
      <c r="C21" s="28">
        <f>355/B21</f>
        <v/>
      </c>
      <c r="D21" s="13" t="n">
        <v>0</v>
      </c>
      <c r="E21" s="13">
        <f>0-D21</f>
        <v/>
      </c>
      <c r="F21" s="8" t="inlineStr">
        <is>
          <t>Local + diaspora</t>
        </is>
      </c>
    </row>
    <row r="22">
      <c r="A22" s="5" t="inlineStr">
        <is>
          <t>Optimistic</t>
        </is>
      </c>
      <c r="B22" s="6" t="n">
        <v>140</v>
      </c>
      <c r="C22" s="28">
        <f>355/B22</f>
        <v/>
      </c>
      <c r="D22" s="13">
        <f>(C22-C21)*80000000*0.05</f>
        <v/>
      </c>
      <c r="E22" s="13">
        <f>0-D22</f>
        <v/>
      </c>
      <c r="F22" s="8" t="inlineStr">
        <is>
          <t>All segments strong</t>
        </is>
      </c>
    </row>
    <row r="24">
      <c r="A24" s="3" t="inlineStr">
        <is>
          <t>PRICING SENSITIVITY</t>
        </is>
      </c>
      <c r="B24" s="4" t="n"/>
      <c r="C24" s="4" t="n"/>
      <c r="D24" s="4" t="n"/>
      <c r="E24" s="4" t="n"/>
      <c r="F24" s="4" t="n"/>
    </row>
    <row r="25">
      <c r="A25" s="11" t="inlineStr">
        <is>
          <t>Scenario</t>
        </is>
      </c>
      <c r="B25" s="11" t="inlineStr">
        <is>
          <t>Price Change</t>
        </is>
      </c>
      <c r="C25" s="11" t="inlineStr">
        <is>
          <t>Revised GDV (BBD)</t>
        </is>
      </c>
      <c r="D25" s="11" t="inlineStr">
        <is>
          <t>GDV Change (BBD)</t>
        </is>
      </c>
      <c r="E25" s="11" t="inlineStr">
        <is>
          <t>Revised Margin</t>
        </is>
      </c>
      <c r="F25" s="11" t="inlineStr">
        <is>
          <t>Notes</t>
        </is>
      </c>
    </row>
    <row r="26">
      <c r="A26" s="5" t="inlineStr">
        <is>
          <t>Price Cut -10%</t>
        </is>
      </c>
      <c r="B26" s="18" t="n">
        <v>-0.1</v>
      </c>
      <c r="C26" s="20">
        <f>'Revenue Model'!G31*(1+B26)</f>
        <v/>
      </c>
      <c r="D26" s="13">
        <f>C26-C27</f>
        <v/>
      </c>
      <c r="E26" s="27">
        <f>(C26-'Development Appraisal'!B11)/C26</f>
        <v/>
      </c>
      <c r="F26" s="8" t="inlineStr">
        <is>
          <t>Competitive pressure scenario</t>
        </is>
      </c>
    </row>
    <row r="27">
      <c r="A27" s="5" t="inlineStr">
        <is>
          <t>Base Case (0%)</t>
        </is>
      </c>
      <c r="B27" s="18" t="n">
        <v>0</v>
      </c>
      <c r="C27" s="20">
        <f>'Revenue Model'!G31*(1+B27)</f>
        <v/>
      </c>
      <c r="D27" s="13" t="n">
        <v>0</v>
      </c>
      <c r="E27" s="27">
        <f>(C27-'Development Appraisal'!B11)/C27</f>
        <v/>
      </c>
      <c r="F27" s="8" t="inlineStr">
        <is>
          <t>Current pricing</t>
        </is>
      </c>
    </row>
    <row r="28">
      <c r="A28" s="5" t="inlineStr">
        <is>
          <t>Price Growth +5%</t>
        </is>
      </c>
      <c r="B28" s="18" t="n">
        <v>0.05</v>
      </c>
      <c r="C28" s="20">
        <f>'Revenue Model'!G31*(1+B28)</f>
        <v/>
      </c>
      <c r="D28" s="13">
        <f>C28-C27</f>
        <v/>
      </c>
      <c r="E28" s="27">
        <f>(C28-'Development Appraisal'!B11)/C28</f>
        <v/>
      </c>
      <c r="F28" s="8" t="inlineStr">
        <is>
          <t>Northern Barbados growth premium</t>
        </is>
      </c>
    </row>
    <row r="29">
      <c r="A29" s="5" t="inlineStr">
        <is>
          <t>Price Growth +10%</t>
        </is>
      </c>
      <c r="B29" s="18" t="n">
        <v>0.1</v>
      </c>
      <c r="C29" s="20">
        <f>'Revenue Model'!G31*(1+B29)</f>
        <v/>
      </c>
      <c r="D29" s="13">
        <f>C29-C27</f>
        <v/>
      </c>
      <c r="E29" s="27">
        <f>(C29-'Development Appraisal'!B11)/C29</f>
        <v/>
      </c>
      <c r="F29" s="8" t="inlineStr">
        <is>
          <t>Strong demand / inflation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MOUNT BREVITOR ESTATE DEVELOPMENT</t>
        </is>
      </c>
    </row>
    <row r="2">
      <c r="A2" s="2" t="inlineStr">
        <is>
          <t>Farm / Agri-Estate Profit and Loss | Model C + B | v2.0</t>
        </is>
      </c>
    </row>
    <row r="3">
      <c r="A3" s="2" t="inlineStr">
        <is>
          <t>Recommended Model: Estate Supply (C) with selective Agri-Tourism (B). See C1 Farm Analysis.</t>
        </is>
      </c>
    </row>
    <row r="5">
      <c r="A5" s="11" t="inlineStr">
        <is>
          <t>Line Item</t>
        </is>
      </c>
      <c r="B5" s="11" t="inlineStr">
        <is>
          <t>Unit</t>
        </is>
      </c>
      <c r="C5" s="11" t="inlineStr">
        <is>
          <t>2025</t>
        </is>
      </c>
      <c r="D5" s="11" t="inlineStr">
        <is>
          <t>2026</t>
        </is>
      </c>
      <c r="E5" s="11" t="inlineStr">
        <is>
          <t>2027</t>
        </is>
      </c>
      <c r="F5" s="11" t="inlineStr">
        <is>
          <t>2028</t>
        </is>
      </c>
      <c r="G5" s="11" t="inlineStr">
        <is>
          <t>Total</t>
        </is>
      </c>
    </row>
    <row r="6">
      <c r="A6" s="3" t="inlineStr">
        <is>
          <t>FARM REVENUE (BBD)</t>
        </is>
      </c>
      <c r="B6" s="4" t="n"/>
      <c r="C6" s="4" t="n"/>
      <c r="D6" s="4" t="n"/>
      <c r="E6" s="4" t="n"/>
      <c r="F6" s="4" t="n"/>
      <c r="G6" s="4" t="n"/>
    </row>
    <row r="7">
      <c r="A7" s="5" t="inlineStr">
        <is>
          <t>Aquaponics / Vegetables</t>
        </is>
      </c>
      <c r="B7" s="5" t="inlineStr">
        <is>
          <t>BBD</t>
        </is>
      </c>
      <c r="C7" s="12" t="n">
        <v>0</v>
      </c>
      <c r="D7" s="12" t="n">
        <v>200000</v>
      </c>
      <c r="E7" s="12" t="n">
        <v>600000</v>
      </c>
      <c r="F7" s="12" t="n">
        <v>900000</v>
      </c>
      <c r="G7" s="13">
        <f>SUM(C7:F7)</f>
        <v/>
      </c>
    </row>
    <row r="8">
      <c r="A8" s="5" t="inlineStr">
        <is>
          <t>Dairy / Cheese Production</t>
        </is>
      </c>
      <c r="B8" s="5" t="inlineStr">
        <is>
          <t>BBD</t>
        </is>
      </c>
      <c r="C8" s="12" t="n">
        <v>0</v>
      </c>
      <c r="D8" s="12" t="n">
        <v>100000</v>
      </c>
      <c r="E8" s="12" t="n">
        <v>400000</v>
      </c>
      <c r="F8" s="12" t="n">
        <v>700000</v>
      </c>
      <c r="G8" s="13">
        <f>SUM(C8:F8)</f>
        <v/>
      </c>
    </row>
    <row r="9">
      <c r="A9" s="5" t="inlineStr">
        <is>
          <t>Farm Shop / Direct Sales</t>
        </is>
      </c>
      <c r="B9" s="5" t="inlineStr">
        <is>
          <t>BBD</t>
        </is>
      </c>
      <c r="C9" s="12" t="n">
        <v>0</v>
      </c>
      <c r="D9" s="12" t="n">
        <v>100000</v>
      </c>
      <c r="E9" s="12" t="n">
        <v>400000</v>
      </c>
      <c r="F9" s="12" t="n">
        <v>600000</v>
      </c>
      <c r="G9" s="13">
        <f>SUM(C9:F9)</f>
        <v/>
      </c>
    </row>
    <row r="10">
      <c r="A10" s="5" t="inlineStr">
        <is>
          <t>Restaurant Supply (B2B)</t>
        </is>
      </c>
      <c r="B10" s="5" t="inlineStr">
        <is>
          <t>BBD</t>
        </is>
      </c>
      <c r="C10" s="12" t="n">
        <v>0</v>
      </c>
      <c r="D10" s="12" t="n">
        <v>50000</v>
      </c>
      <c r="E10" s="12" t="n">
        <v>300000</v>
      </c>
      <c r="F10" s="12" t="n">
        <v>400000</v>
      </c>
      <c r="G10" s="13">
        <f>SUM(C10:F10)</f>
        <v/>
      </c>
    </row>
    <row r="11">
      <c r="A11" s="5" t="inlineStr">
        <is>
          <t>Agri-Tourism (tours, events)</t>
        </is>
      </c>
      <c r="B11" s="5" t="inlineStr">
        <is>
          <t>BBD</t>
        </is>
      </c>
      <c r="C11" s="12" t="n">
        <v>0</v>
      </c>
      <c r="D11" s="12" t="n">
        <v>50000</v>
      </c>
      <c r="E11" s="12" t="n">
        <v>300000</v>
      </c>
      <c r="F11" s="12" t="n">
        <v>400000</v>
      </c>
      <c r="G11" s="13">
        <f>SUM(C11:F11)</f>
        <v/>
      </c>
    </row>
    <row r="12">
      <c r="A12" s="14" t="inlineStr">
        <is>
          <t>TOTAL FARM REVENUE</t>
        </is>
      </c>
      <c r="B12" s="7" t="n"/>
      <c r="C12" s="16">
        <f>SUM(C7:C11)</f>
        <v/>
      </c>
      <c r="D12" s="16">
        <f>SUM(D7:D11)</f>
        <v/>
      </c>
      <c r="E12" s="16">
        <f>SUM(E7:E11)</f>
        <v/>
      </c>
      <c r="F12" s="16">
        <f>SUM(F7:F11)</f>
        <v/>
      </c>
      <c r="G12" s="16">
        <f>SUM(G7:G11)</f>
        <v/>
      </c>
    </row>
    <row r="14">
      <c r="A14" s="3" t="inlineStr">
        <is>
          <t>FARM OPERATING COSTS (BBD)</t>
        </is>
      </c>
      <c r="B14" s="4" t="n"/>
      <c r="C14" s="4" t="n"/>
      <c r="D14" s="4" t="n"/>
      <c r="E14" s="4" t="n"/>
      <c r="F14" s="4" t="n"/>
      <c r="G14" s="4" t="n"/>
    </row>
    <row r="15">
      <c r="A15" s="5" t="inlineStr">
        <is>
          <t>Setup / Capital (containers, equipment)</t>
        </is>
      </c>
      <c r="B15" s="5" t="inlineStr">
        <is>
          <t>BBD</t>
        </is>
      </c>
      <c r="C15" s="12" t="n">
        <v>1500000</v>
      </c>
      <c r="D15" s="12" t="n">
        <v>1500000</v>
      </c>
      <c r="E15" s="12" t="n">
        <v>500000</v>
      </c>
      <c r="F15" s="12" t="n">
        <v>0</v>
      </c>
      <c r="G15" s="13">
        <f>SUM(C15:F15)</f>
        <v/>
      </c>
    </row>
    <row r="16">
      <c r="A16" s="5" t="inlineStr">
        <is>
          <t>Livestock Acquisition</t>
        </is>
      </c>
      <c r="B16" s="5" t="inlineStr">
        <is>
          <t>BBD</t>
        </is>
      </c>
      <c r="C16" s="12" t="n">
        <v>0</v>
      </c>
      <c r="D16" s="12" t="n">
        <v>300000</v>
      </c>
      <c r="E16" s="12" t="n">
        <v>100000</v>
      </c>
      <c r="F16" s="12" t="n">
        <v>0</v>
      </c>
      <c r="G16" s="13">
        <f>SUM(C16:F16)</f>
        <v/>
      </c>
    </row>
    <row r="17">
      <c r="A17" s="5" t="inlineStr">
        <is>
          <t>Feed and Supplies</t>
        </is>
      </c>
      <c r="B17" s="5" t="inlineStr">
        <is>
          <t>BBD</t>
        </is>
      </c>
      <c r="C17" s="12" t="n">
        <v>0</v>
      </c>
      <c r="D17" s="12" t="n">
        <v>200000</v>
      </c>
      <c r="E17" s="12" t="n">
        <v>350000</v>
      </c>
      <c r="F17" s="12" t="n">
        <v>400000</v>
      </c>
      <c r="G17" s="13">
        <f>SUM(C17:F17)</f>
        <v/>
      </c>
    </row>
    <row r="18">
      <c r="A18" s="5" t="inlineStr">
        <is>
          <t>Labour (farm staff)</t>
        </is>
      </c>
      <c r="B18" s="5" t="inlineStr">
        <is>
          <t>BBD</t>
        </is>
      </c>
      <c r="C18" s="12" t="n">
        <v>100000</v>
      </c>
      <c r="D18" s="12" t="n">
        <v>400000</v>
      </c>
      <c r="E18" s="12" t="n">
        <v>600000</v>
      </c>
      <c r="F18" s="12" t="n">
        <v>700000</v>
      </c>
      <c r="G18" s="13">
        <f>SUM(C18:F18)</f>
        <v/>
      </c>
    </row>
    <row r="19">
      <c r="A19" s="5" t="inlineStr">
        <is>
          <t>Utilities (water, power)</t>
        </is>
      </c>
      <c r="B19" s="5" t="inlineStr">
        <is>
          <t>BBD</t>
        </is>
      </c>
      <c r="C19" s="12" t="n">
        <v>50000</v>
      </c>
      <c r="D19" s="12" t="n">
        <v>150000</v>
      </c>
      <c r="E19" s="12" t="n">
        <v>200000</v>
      </c>
      <c r="F19" s="12" t="n">
        <v>250000</v>
      </c>
      <c r="G19" s="13">
        <f>SUM(C19:F19)</f>
        <v/>
      </c>
    </row>
    <row r="20">
      <c r="A20" s="5" t="inlineStr">
        <is>
          <t>Maintenance and Insurance</t>
        </is>
      </c>
      <c r="B20" s="5" t="inlineStr">
        <is>
          <t>BBD</t>
        </is>
      </c>
      <c r="C20" s="12" t="n">
        <v>50000</v>
      </c>
      <c r="D20" s="12" t="n">
        <v>100000</v>
      </c>
      <c r="E20" s="12" t="n">
        <v>150000</v>
      </c>
      <c r="F20" s="12" t="n">
        <v>200000</v>
      </c>
      <c r="G20" s="13">
        <f>SUM(C20:F20)</f>
        <v/>
      </c>
    </row>
    <row r="21">
      <c r="A21" s="5" t="inlineStr">
        <is>
          <t>Marketing and Sales</t>
        </is>
      </c>
      <c r="B21" s="5" t="inlineStr">
        <is>
          <t>BBD</t>
        </is>
      </c>
      <c r="C21" s="12" t="n">
        <v>50000</v>
      </c>
      <c r="D21" s="12" t="n">
        <v>100000</v>
      </c>
      <c r="E21" s="12" t="n">
        <v>150000</v>
      </c>
      <c r="F21" s="12" t="n">
        <v>150000</v>
      </c>
      <c r="G21" s="13">
        <f>SUM(C21:F21)</f>
        <v/>
      </c>
    </row>
    <row r="22">
      <c r="A22" s="14" t="inlineStr">
        <is>
          <t>TOTAL FARM COSTS</t>
        </is>
      </c>
      <c r="B22" s="7" t="n"/>
      <c r="C22" s="16">
        <f>SUM(C15:C21)</f>
        <v/>
      </c>
      <c r="D22" s="16">
        <f>SUM(D15:D21)</f>
        <v/>
      </c>
      <c r="E22" s="16">
        <f>SUM(E15:E21)</f>
        <v/>
      </c>
      <c r="F22" s="16">
        <f>SUM(F15:F21)</f>
        <v/>
      </c>
      <c r="G22" s="16">
        <f>SUM(G15:G21)</f>
        <v/>
      </c>
    </row>
    <row r="24">
      <c r="A24" s="3" t="inlineStr">
        <is>
          <t>FARM NET POSITION</t>
        </is>
      </c>
      <c r="B24" s="4" t="n"/>
      <c r="C24" s="4" t="n"/>
      <c r="D24" s="4" t="n"/>
      <c r="E24" s="4" t="n"/>
      <c r="F24" s="4" t="n"/>
      <c r="G24" s="4" t="n"/>
    </row>
    <row r="25">
      <c r="A25" s="26" t="inlineStr">
        <is>
          <t>NET FARM PROFIT / (LOSS)</t>
        </is>
      </c>
      <c r="B25" s="7" t="n"/>
      <c r="C25" s="16">
        <f>C12-C22</f>
        <v/>
      </c>
      <c r="D25" s="16">
        <f>D12-D22</f>
        <v/>
      </c>
      <c r="E25" s="16">
        <f>E12-E22</f>
        <v/>
      </c>
      <c r="F25" s="16">
        <f>F12-F22</f>
        <v/>
      </c>
      <c r="G25" s="16">
        <f>G12-G22</f>
        <v/>
      </c>
    </row>
    <row r="26">
      <c r="A26" s="5" t="inlineStr">
        <is>
          <t>Farm Operating Margin</t>
        </is>
      </c>
      <c r="B26" s="7" t="n"/>
      <c r="C26" s="24">
        <f>IF(C12=0,0,C25/C12)</f>
        <v/>
      </c>
      <c r="D26" s="24">
        <f>IF(D12=0,0,D25/D12)</f>
        <v/>
      </c>
      <c r="E26" s="24">
        <f>IF(E12=0,0,E25/E12)</f>
        <v/>
      </c>
      <c r="F26" s="24">
        <f>IF(F12=0,0,F25/F12)</f>
        <v/>
      </c>
      <c r="G26" s="24">
        <f>IF(G12=0,0,G25/G12)</f>
        <v/>
      </c>
    </row>
    <row r="28">
      <c r="A28" s="2" t="inlineStr">
        <is>
          <t>FLAG: Farm model not confirmed by developer. Revenue projections are advisory estimates based on Model C+B scoring. Capital requirement and revenue ramp require validation against selected operating model.</t>
        </is>
      </c>
    </row>
  </sheetData>
  <mergeCells count="1">
    <mergeCell ref="A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2026-03-05T01:47:19Z</dcterms:created>
  <dcterms:modified xmlns:dcterms="http://purl.org/dc/terms/" xmlns:xsi="http://www.w3.org/2001/XMLSchema-instance" xsi:type="dcterms:W3CDTF">2026-03-05T01:47:21Z</dcterms:modified>
</cp:coreProperties>
</file>
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kevynshorey/Library/Mobile Documents/com~apple~CloudDocs/Documents/YOTEL/MAGNUS /"/>
    </mc:Choice>
  </mc:AlternateContent>
  <xr:revisionPtr revIDLastSave="0" documentId="8_{692120A9-9531-D541-8822-F19962108EAB}" xr6:coauthVersionLast="47" xr6:coauthVersionMax="47" xr10:uidLastSave="{00000000-0000-0000-0000-000000000000}"/>
  <bookViews>
    <workbookView xWindow="0" yWindow="0" windowWidth="38400" windowHeight="21600" tabRatio="500" xr2:uid="{00000000-000D-0000-FFFF-FFFF00000000}"/>
  </bookViews>
  <sheets>
    <sheet name="Pre-Dev Budget" sheetId="1" r:id="rId1"/>
    <sheet name="Assumptions" sheetId="2" r:id="rId2"/>
    <sheet name="Programme Timeline" sheetId="3" r:id="rId3"/>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 l="1"/>
  <c r="B32" i="1"/>
  <c r="B33" i="1" s="1"/>
  <c r="C31" i="1"/>
  <c r="B31" i="1"/>
  <c r="E29" i="1"/>
  <c r="E31" i="1" s="1"/>
  <c r="D29" i="1"/>
  <c r="F29" i="1" s="1"/>
  <c r="C29" i="1"/>
  <c r="B29" i="1"/>
  <c r="F27" i="1"/>
  <c r="F26" i="1"/>
  <c r="F25" i="1"/>
  <c r="F23" i="1"/>
  <c r="F22" i="1"/>
  <c r="F21" i="1"/>
  <c r="F20" i="1"/>
  <c r="F18" i="1"/>
  <c r="F17" i="1"/>
  <c r="F16" i="1"/>
  <c r="F14" i="1"/>
  <c r="F13" i="1"/>
  <c r="F12" i="1"/>
  <c r="F11" i="1"/>
  <c r="F10" i="1"/>
  <c r="F9" i="1"/>
  <c r="F31" i="1" s="1"/>
  <c r="C37" i="1" l="1"/>
  <c r="C39" i="1"/>
  <c r="C38" i="1"/>
  <c r="F32" i="1"/>
  <c r="F33" i="1"/>
  <c r="C41" i="1"/>
  <c r="C32" i="1"/>
  <c r="D31" i="1"/>
  <c r="C40" i="1"/>
  <c r="C33" i="1" l="1"/>
  <c r="D32" i="1"/>
  <c r="D33" i="1" l="1"/>
  <c r="E32" i="1"/>
  <c r="E33" i="1" s="1"/>
</calcChain>
</file>

<file path=xl/sharedStrings.xml><?xml version="1.0" encoding="utf-8"?>
<sst xmlns="http://schemas.openxmlformats.org/spreadsheetml/2006/main" count="236" uniqueCount="186">
  <si>
    <t>YOTEL + YOTELPAD BARBADOS  |  PRE-DEVELOPMENT FUNDING REQUEST  |  Coruscant Developments Ltd.</t>
  </si>
  <si>
    <t>Funding Provider: Magnus Capital  |  Period: April 2026 through July 2026 (4 months)  |  Confidential</t>
  </si>
  <si>
    <t>PURPOSE &amp; SCOPE</t>
  </si>
  <si>
    <t>This budget covers the pre-development phase from financial close (April 2026) through submission of the full planning application and EIA screening (July 2026). It funds the work required to take the project from current concept stage to a planning-ready position: master planning, architect Stage 1a/1b, structural and MEP concept, geotechnical survey, EIA screening, legal, YOTEL brand engagement, and Coruscant project management. All costs are in USD. Barbados dollar amounts converted at BD$2.00 : USD$1.00.</t>
  </si>
  <si>
    <t>Cost Item</t>
  </si>
  <si>
    <t>Apr 2026</t>
  </si>
  <si>
    <t>May 2026</t>
  </si>
  <si>
    <t>Jun 2026</t>
  </si>
  <si>
    <t>Jul 2026</t>
  </si>
  <si>
    <t>Total (USD)</t>
  </si>
  <si>
    <t>Basis / Source</t>
  </si>
  <si>
    <t>PROFESSIONAL FEES</t>
  </si>
  <si>
    <t xml:space="preserve">   Architect: Stage 1a Retainer (10% of fee)</t>
  </si>
  <si>
    <t>BD$321,750 net of 17.5% VAT = USD$137,000. Payable on contract execution. Source: Architect fee letter Feb 2026 (5.5% of BD$58.5M construction cost).</t>
  </si>
  <si>
    <t xml:space="preserve">   Architect: Stage 1b Concept Design (15% of fee)</t>
  </si>
  <si>
    <t>BD$482,625 net VAT = USD$205,000. Spread across months 2-4. Covers concept design, massing, room count confirmation, YOTEL brand submission package.</t>
  </si>
  <si>
    <t xml:space="preserve">   Structural Engineer: Concept Stage</t>
  </si>
  <si>
    <t>USD$50,000 for structural strategy, foundation concept, hurricane load review. Source: Project budget assumption; consistent with BCQS 2025 soft cost benchmarks for a 130-key hotel.</t>
  </si>
  <si>
    <t xml:space="preserve">   MEP Engineer: Concept Stage</t>
  </si>
  <si>
    <t>USD$25,000 for MEP concept: electrical, plumbing, HVAC strategy for modular interface. Paid in months 2-3.</t>
  </si>
  <si>
    <t xml:space="preserve">   Quantity Surveyor: Preliminary Cost Plan</t>
  </si>
  <si>
    <t>USD$15,000 for elemental cost plan to accompany planning submission. Source: Project budget; QS fee confirmed in soft cost schedule.</t>
  </si>
  <si>
    <t xml:space="preserve">   YOTEL Technical Services: Stage 1 Engagement Fee</t>
  </si>
  <si>
    <t>USD$5,000/month retainer for YOTEL TSA engagement during concept and design review phase. Source: YOTEL Feasibility Guidelines Total phase cost USD$20,000 (est.).</t>
  </si>
  <si>
    <t>SURVEYS AND SITE INVESTIGATIONS</t>
  </si>
  <si>
    <t xml:space="preserve">   Geotechnical Survey and Report</t>
  </si>
  <si>
    <t>USD$17,000 for borehole programme, limestone bedrock assessment, and geotechnical report. Source: Project budget assumption. Limestone bedrock condition may reduce cost vs piling sites.</t>
  </si>
  <si>
    <t xml:space="preserve">   Boundary Survey and Site Measured Drawing</t>
  </si>
  <si>
    <t>USD$10,000 for re-survey of the irregular polygon site at Bay Street. Confirms 27m frontage, total site area, and cadastral boundaries for planning drawings.</t>
  </si>
  <si>
    <t xml:space="preserve">   Topographical and Drainage Survey</t>
  </si>
  <si>
    <t>USD$5,000 for topo survey and drainage catchment assessment required for EIA screening. Required under Planning and Development (EIA) Regulations 2021.</t>
  </si>
  <si>
    <t>REGULATORY, PLANNING AND LEGAL</t>
  </si>
  <si>
    <t xml:space="preserve">   Planning: Pre-Application Consultation Fee (Barbados)</t>
  </si>
  <si>
    <t>Prescribed fee payable to Barbados Town and Country Planning Department on booking pre-application consultation. Source: Planning and Development Act 2019 and EIA Regulations 2021.</t>
  </si>
  <si>
    <t xml:space="preserve">   EIA Screening Report (Environmental Consultant)</t>
  </si>
  <si>
    <t>USD$30,000 for EIA screening report and scoping submission. Required for hotel development under Planning and Development (EIA) Regulations 2021, Gazette No. 89 December 2021. Split months 3-4.</t>
  </si>
  <si>
    <t xml:space="preserve">   Legal: Title, Development Agreement, Contract Review</t>
  </si>
  <si>
    <t>USD$23,000 for local Barbados counsel: title due diligence, option or purchase agreement review, franchise agreement heads of terms review, and planning application legal support.</t>
  </si>
  <si>
    <t xml:space="preserve">   YOTEL Franchise Agreement: Legal (Heads of Terms)</t>
  </si>
  <si>
    <t>USD$15,000 for specialist hospitality legal counsel to review YOTEL franchise heads of terms. Separate from local planning legal. UK-based counsel familiar with YOTEL agreements.</t>
  </si>
  <si>
    <t>PROJECT MANAGEMENT AND CORUSCANT OPERATING COSTS</t>
  </si>
  <si>
    <t xml:space="preserve">   Coruscant: Developer Management Fee</t>
  </si>
  <si>
    <t xml:space="preserve">USD$15,000/month. $32.5M branded hotel project during pre-development. Full scope hotel fee development: 3-5% of total cost . </t>
  </si>
  <si>
    <t xml:space="preserve">   Project Administration and Office Costs</t>
  </si>
  <si>
    <t>USD$2,500/month. courier, printing, planning document production, YOTEL submission costs, and project administration.</t>
  </si>
  <si>
    <t xml:space="preserve">   Travel and Stakeholder Meetings </t>
  </si>
  <si>
    <t>USD$3,500/month average. Flights and accommodation for Coruscant team, investor meetings, YOTEL CEO meetings, government agency pre-application consultations, and site visits.</t>
  </si>
  <si>
    <t>CONTINGENCY</t>
  </si>
  <si>
    <t xml:space="preserve">   Pre-Development Contingency (10%)</t>
  </si>
  <si>
    <t>10% contingency on total professional and survey costs. Standard pre-development contingency to cover scope additions, additional consultant meetings, and unforeseen regulatory requirements.</t>
  </si>
  <si>
    <t>MONTHLY TOTAL EXPENDITURE</t>
  </si>
  <si>
    <t xml:space="preserve">   CUMULATIVE BURN (running total)</t>
  </si>
  <si>
    <t xml:space="preserve">   FUND BALANCE REMAINING (Magnus Facility less cumulative burn)</t>
  </si>
  <si>
    <t>FUNDING REQUEST SUMMARY</t>
  </si>
  <si>
    <t xml:space="preserve">   Magnus Capital Pre-Development Facility (requested)</t>
  </si>
  <si>
    <t xml:space="preserve">   Total Pre-Development Spend (4 months, incl. contingency)</t>
  </si>
  <si>
    <t xml:space="preserve">   Unallocated Reserve at Period End</t>
  </si>
  <si>
    <t xml:space="preserve">   Monthly Average Burn Rate</t>
  </si>
  <si>
    <t xml:space="preserve">   Coruscant Developer Management Fee (total 4 months)</t>
  </si>
  <si>
    <t xml:space="preserve">   Management Fee as % of Facility</t>
  </si>
  <si>
    <t>FEE JUSTIFICATION  |  Developer Management Fee</t>
  </si>
  <si>
    <t>The Coruscant Developer Management Fee of USD$15,000 per month is set at the lower end of published industry norms for a project of this size and complexity.
  Full-scope fee developer: 3-8% of total project cost.
  For a USD$32.5M hotel: 3% = USD$975,000 lifecycle fee; 5% = USD$1,625,000.
  Pre-development portion (approx. 10-15% of lifecycle): USD$97,500 - USD$243,750.
  USD$15,000/month x 4 months = USD$60,000 = 6.2% of pre-dev budget; 0.18% of total project cost.
This fee covers: daily project direction and decision-making, brand liaison with YOTEL, coordination of all professional consultants, stakeholder and investor management, regulatory strategy, and management of the pre-development programme. The fee does not cover out-of-pocket expenses, which are separately budgeted under Project Administration and Travel.</t>
  </si>
  <si>
    <t>DRAWDOWN TRIGGERS  |  Capital Release Conditions</t>
  </si>
  <si>
    <t>Drawdown 1 — April 2026  (USD$218,500)</t>
  </si>
  <si>
    <t xml:space="preserve">   Release on execution of pre-development funding agreement with Magnus Capital. Covers architect retainer Stage 1a, geotechnical survey, boundary survey, legal inception, YOTEL engagement, and first month management fee.</t>
  </si>
  <si>
    <t>Drawdown 2 — May 2026  (USD$130,500)</t>
  </si>
  <si>
    <t xml:space="preserve">   Release on: (1) written confirmation of architect Stage 1a completion; (2) geotech mobilisation confirmed; (3) Coruscant project status report submitted to Magnus. Covers Stage 1b first instalment, structural/MEP concept start, pre-application consultation booking.</t>
  </si>
  <si>
    <t>Drawdown 3 — May 2026  (USD$161,500 est.)</t>
  </si>
  <si>
    <t xml:space="preserve">   Release on: (1) pre-application meeting with Barbados planning department completed; (2) architect Stage 1b 50% complete; (3) EIA screening instruction issued to environmental consultant.</t>
  </si>
  <si>
    <t>Drawdown 4 — June 2026  (USD$154,500 est.)</t>
  </si>
  <si>
    <t xml:space="preserve">   Release on: (1) EIA screening report submitted; (2) architect Stage 1b completed and YOTEL submission package lodged; (3) planning application drafted and ready for submission. Final drawdown closes the pre-development phase.</t>
  </si>
  <si>
    <t>ASSUMPTIONS  |  Pre-Development Funding Request</t>
  </si>
  <si>
    <t>FUNDING ASSUMPTIONS</t>
  </si>
  <si>
    <t xml:space="preserve">   Magnus Capital Pre-Development Facility (USD)</t>
  </si>
  <si>
    <t>Requested amount. Phil suggested USD$500K; Kevyn estimated USD$300K. USD$400K midpoint request covers full 4-month programme with 10% contingency and unallocated reserve.</t>
  </si>
  <si>
    <t xml:space="preserve">   Facility Period (months)</t>
  </si>
  <si>
    <t>April 2026 through July 2026 inclusive.</t>
  </si>
  <si>
    <t xml:space="preserve">   BD$ : USD Exchange Rate</t>
  </si>
  <si>
    <t>Fixed peg. Barbados dollar pegged to USD at 2:1 since 1975.</t>
  </si>
  <si>
    <t xml:space="preserve">   Architect Fee Basis (BD$, incl. VAT)</t>
  </si>
  <si>
    <t>5.5% of BD$58.5M construction cost = BD$3,217,500. VAT at 17.5% included. Source: Architect fee letter February 2026.</t>
  </si>
  <si>
    <t xml:space="preserve">   Developer Management Fee per Month (USD)</t>
  </si>
  <si>
    <t xml:space="preserve">Industry standard for pre-development management on a USD$32.5M branded hotel. Lower end of 3-5% lifecycle fee developer benchmark. </t>
  </si>
  <si>
    <t xml:space="preserve">   Contingency Rate on Professional and Survey Costs</t>
  </si>
  <si>
    <t>10% pre-development contingency. Standard industry allowance for scope additions, additional meetings, and unforeseen regulatory requirements.</t>
  </si>
  <si>
    <t>PRE-DEVELOPMENT PROGRAMME TIMELINE  |  April through July 2026</t>
  </si>
  <si>
    <t>Activity sequence from financial close through planning application submission. Parallel workstreams shown.</t>
  </si>
  <si>
    <t>Workstream / Activity</t>
  </si>
  <si>
    <t>Output / Milestone</t>
  </si>
  <si>
    <t>DESIGN AND ARCHITECTURE</t>
  </si>
  <si>
    <t xml:space="preserve">   Contract execution and architect retainer payment</t>
  </si>
  <si>
    <t>•</t>
  </si>
  <si>
    <t>Stage 1a fee paid; design brief confirmed</t>
  </si>
  <si>
    <t xml:space="preserve">   Concept design: massing, floor plans, room count</t>
  </si>
  <si>
    <t>Concept design package</t>
  </si>
  <si>
    <t xml:space="preserve">   YOTEL brand submission package</t>
  </si>
  <si>
    <t>Formal YOTEL feasibility submission</t>
  </si>
  <si>
    <t xml:space="preserve">   Stage 1b: design development, area schedule</t>
  </si>
  <si>
    <t>Stage 1b complete; YOTEL comment received</t>
  </si>
  <si>
    <t xml:space="preserve">   Structural and MEP concept design</t>
  </si>
  <si>
    <t>Structural and MEP concept report</t>
  </si>
  <si>
    <t xml:space="preserve">   Preliminary cost plan (QS)</t>
  </si>
  <si>
    <t>Elemental cost plan for planning submission</t>
  </si>
  <si>
    <t>SURVEYS AND INVESTIGATIONS</t>
  </si>
  <si>
    <t xml:space="preserve">   Geotechnical survey and report</t>
  </si>
  <si>
    <t>Geotech report confirming limestone bedrock</t>
  </si>
  <si>
    <t xml:space="preserve">   Boundary and topographical survey</t>
  </si>
  <si>
    <t>Survey drawings for planning</t>
  </si>
  <si>
    <t xml:space="preserve">   Drainage and catchment assessment</t>
  </si>
  <si>
    <t>Drainage report for EIA screening</t>
  </si>
  <si>
    <t>REGULATORY AND PLANNING</t>
  </si>
  <si>
    <t xml:space="preserve">   Pre-application consultation: book appointment</t>
  </si>
  <si>
    <t>Appointment booked with TCPD</t>
  </si>
  <si>
    <t xml:space="preserve">   Pre-application meeting with planning department</t>
  </si>
  <si>
    <t>Pre-app meeting notes; required documents list</t>
  </si>
  <si>
    <t xml:space="preserve">   EIA screening instruction to environmental consultant</t>
  </si>
  <si>
    <t>EIA consultant instructed</t>
  </si>
  <si>
    <t xml:space="preserve">   EIA screening report prepared</t>
  </si>
  <si>
    <t>EIA screening report complete</t>
  </si>
  <si>
    <t xml:space="preserve">   EIA screening submission to planning</t>
  </si>
  <si>
    <t>EIA screening submitted</t>
  </si>
  <si>
    <t xml:space="preserve">   Planning application drawing package</t>
  </si>
  <si>
    <t>Planning drawings and design statement</t>
  </si>
  <si>
    <t xml:space="preserve">   Planning application submission</t>
  </si>
  <si>
    <t>Full planning application lodged</t>
  </si>
  <si>
    <t>LEGAL AND COMMERCIAL</t>
  </si>
  <si>
    <t xml:space="preserve">   Site legal due diligence</t>
  </si>
  <si>
    <t>Title confirmed; encumbrances identified</t>
  </si>
  <si>
    <t xml:space="preserve">   Option or purchase agreement negotiation</t>
  </si>
  <si>
    <t>Heads of terms or agreement exchanged</t>
  </si>
  <si>
    <t xml:space="preserve">   YOTEL franchise heads of terms review</t>
  </si>
  <si>
    <t>YOTEL HoT agreed or progressed</t>
  </si>
  <si>
    <t xml:space="preserve">   Magnus Capital funding agreement execution</t>
  </si>
  <si>
    <t>Facility agreement signed; funds released</t>
  </si>
  <si>
    <t>PROJECT MANAGEMENT</t>
  </si>
  <si>
    <t xml:space="preserve">   Coruscant: programme management and coordination</t>
  </si>
  <si>
    <t>Monthly progress reports to Magnus</t>
  </si>
  <si>
    <t xml:space="preserve">   Investor stakeholder updates</t>
  </si>
  <si>
    <t>Monthly reporting and calls</t>
  </si>
  <si>
    <t xml:space="preserve">   YOTEL CEO engagement and investor introductions</t>
  </si>
  <si>
    <t>Investor conversations progressed</t>
  </si>
  <si>
    <t>KEY MILESTONES AND DECISION POINTS</t>
  </si>
  <si>
    <t>Milestone</t>
  </si>
  <si>
    <t>Target Date</t>
  </si>
  <si>
    <t>Dependency</t>
  </si>
  <si>
    <t>Decision / Output</t>
  </si>
  <si>
    <t>Magnus pre-development facility signed</t>
  </si>
  <si>
    <t>30 Mar 2026</t>
  </si>
  <si>
    <t>Coruscant entity and NDA confirmed</t>
  </si>
  <si>
    <t>Funds released; all consultants instructed</t>
  </si>
  <si>
    <t>Architect Stage 1a retainer paid</t>
  </si>
  <si>
    <t>Magnus facility live</t>
  </si>
  <si>
    <t>Design programme starts</t>
  </si>
  <si>
    <t>Geotechnical mobilisation</t>
  </si>
  <si>
    <t>01 Apr 2026</t>
  </si>
  <si>
    <t>Survey contract signed</t>
  </si>
  <si>
    <t>Rig on site within 2 weeks</t>
  </si>
  <si>
    <t>Pre-application meeting booked</t>
  </si>
  <si>
    <t>14 Apr 2026</t>
  </si>
  <si>
    <t>Application form and fee submitted to TCPD</t>
  </si>
  <si>
    <t>Pre-app slot confirmed</t>
  </si>
  <si>
    <t>Architect Stage 1b commenced</t>
  </si>
  <si>
    <t>01 May 2026</t>
  </si>
  <si>
    <t>Stage 1a retainer complete</t>
  </si>
  <si>
    <t>Design development underway</t>
  </si>
  <si>
    <t>Pre-application consultation held</t>
  </si>
  <si>
    <t>15 May 2026</t>
  </si>
  <si>
    <t>Planning dept. appointment</t>
  </si>
  <si>
    <t>Required documents list for full submission</t>
  </si>
  <si>
    <t>EIA screening instruction issued</t>
  </si>
  <si>
    <t>Drainage survey complete</t>
  </si>
  <si>
    <t>Environmental consultant on programme</t>
  </si>
  <si>
    <t>YOTEL brand submission lodged</t>
  </si>
  <si>
    <t>14 Jun 2026</t>
  </si>
  <si>
    <t>Concept design approved by Coruscant</t>
  </si>
  <si>
    <t>YOTEL formal review initiated; 10-day response</t>
  </si>
  <si>
    <t>EIA screening submission</t>
  </si>
  <si>
    <t>15 Jul 2026</t>
  </si>
  <si>
    <t>Planning clock starts on EIA screening response</t>
  </si>
  <si>
    <t>Full planning application submission</t>
  </si>
  <si>
    <t>30 Jul 2026</t>
  </si>
  <si>
    <t>All drawings, EIA screening, QS report complete</t>
  </si>
  <si>
    <t>Statutory determination period begins (approx. 13 weeks)</t>
  </si>
  <si>
    <t>Phase end: Magnus facility period closes</t>
  </si>
  <si>
    <t>All drawdowns released</t>
  </si>
  <si>
    <t>Project moves to next funding phase (senior debt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</si>
</sst>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0\);\-"/>
    <numFmt numFmtId="165" formatCode="0.0%;\(0.0%\);\-"/>
    <numFmt numFmtId="166" formatCode="#,##0;\(#,##0\);\-"/>
  </numFmts>
  <fonts count="18" x14ac:knownFonts="1">
    <font>
      <sz val="11"/>
      <color theme="1"/>
      <name val="Calibri"/>
      <family val="2"/>
      <charset val="1"/>
    </font>
    <font>
      <b/>
      <sz val="13"/>
      <color rgb="FFFFFFFF"/>
      <name val="Arial"/>
      <family val="2"/>
      <charset val="1"/>
    </font>
    <font>
      <sz val="9"/>
      <color rgb="FFFFFFFF"/>
      <name val="Arial"/>
      <family val="2"/>
      <charset val="1"/>
    </font>
    <font>
      <b/>
      <sz val="10"/>
      <color rgb="FFFFFFFF"/>
      <name val="Arial"/>
      <family val="2"/>
      <charset val="1"/>
    </font>
    <font>
      <i/>
      <sz val="9"/>
      <color rgb="FF595959"/>
      <name val="Arial"/>
      <family val="2"/>
      <charset val="1"/>
    </font>
    <font>
      <sz val="10"/>
      <color rgb="FF000000"/>
      <name val="Arial"/>
      <family val="2"/>
      <charset val="1"/>
    </font>
    <font>
      <sz val="10"/>
      <color rgb="FF0000FF"/>
      <name val="Arial"/>
      <family val="2"/>
      <charset val="1"/>
    </font>
    <font>
      <sz val="10"/>
      <color rgb="FF595959"/>
      <name val="Arial"/>
      <family val="2"/>
      <charset val="1"/>
    </font>
    <font>
      <b/>
      <sz val="10"/>
      <color rgb="FF000000"/>
      <name val="Arial"/>
      <family val="2"/>
      <charset val="1"/>
    </font>
    <font>
      <i/>
      <sz val="8"/>
      <color rgb="FF595959"/>
      <name val="Arial"/>
      <family val="2"/>
      <charset val="1"/>
    </font>
    <font>
      <sz val="9"/>
      <color rgb="FF1F1F1F"/>
      <name val="Arial"/>
      <family val="2"/>
      <charset val="1"/>
    </font>
    <font>
      <b/>
      <sz val="10"/>
      <color rgb="FF2F5496"/>
      <name val="Arial"/>
      <family val="2"/>
      <charset val="1"/>
    </font>
    <font>
      <i/>
      <sz val="9"/>
      <color rgb="FF1F1F1F"/>
      <name val="Arial"/>
      <family val="2"/>
      <charset val="1"/>
    </font>
    <font>
      <b/>
      <sz val="12"/>
      <color rgb="FFFFFFFF"/>
      <name val="Arial"/>
      <family val="2"/>
      <charset val="1"/>
    </font>
    <font>
      <b/>
      <sz val="10"/>
      <color rgb="FF0000FF"/>
      <name val="Arial"/>
      <family val="2"/>
      <charset val="1"/>
    </font>
    <font>
      <b/>
      <sz val="14"/>
      <color rgb="FFFFFFFF"/>
      <name val="Arial"/>
      <family val="2"/>
      <charset val="1"/>
    </font>
    <font>
      <b/>
      <sz val="9"/>
      <color rgb="FF000000"/>
      <name val="Arial"/>
      <family val="2"/>
      <charset val="1"/>
    </font>
    <font>
      <sz val="9"/>
      <color rgb="FF000000"/>
      <name val="Arial"/>
      <family val="2"/>
      <charset val="1"/>
    </font>
  </fonts>
  <fills count="10">
    <fill>
      <patternFill patternType="none"/>
    </fill>
    <fill>
      <patternFill patternType="gray125"/>
    </fill>
    <fill>
      <patternFill patternType="solid">
        <fgColor rgb="FF1F3864"/>
        <bgColor rgb="FF2F5496"/>
      </patternFill>
    </fill>
    <fill>
      <patternFill patternType="solid">
        <fgColor rgb="FF2F5496"/>
        <bgColor rgb="FF1F3864"/>
      </patternFill>
    </fill>
    <fill>
      <patternFill patternType="solid">
        <fgColor rgb="FFF2F2F2"/>
        <bgColor rgb="FFEBF5E0"/>
      </patternFill>
    </fill>
    <fill>
      <patternFill patternType="solid">
        <fgColor rgb="FFFFFF00"/>
        <bgColor rgb="FFFFFF00"/>
      </patternFill>
    </fill>
    <fill>
      <patternFill patternType="solid">
        <fgColor rgb="FFD9E1F2"/>
        <bgColor rgb="FFF2F2F2"/>
      </patternFill>
    </fill>
    <fill>
      <patternFill patternType="solid">
        <fgColor rgb="FFEBF5E0"/>
        <bgColor rgb="FFF2F2F2"/>
      </patternFill>
    </fill>
    <fill>
      <patternFill patternType="solid">
        <fgColor rgb="FFFCE4D6"/>
        <bgColor rgb="FFF2F2F2"/>
      </patternFill>
    </fill>
    <fill>
      <patternFill patternType="solid">
        <fgColor rgb="FF538DD5"/>
        <bgColor rgb="FF808080"/>
      </patternFill>
    </fill>
  </fills>
  <borders count="1">
    <border>
      <left/>
      <right/>
      <top/>
      <bottom/>
      <diagonal/>
    </border>
  </borders>
  <cellStyleXfs count="1">
    <xf numFmtId="0" fontId="0" fillId="0" borderId="0"/>
  </cellStyleXfs>
  <cellXfs count="53">
    <xf numFmtId="0" fontId="0" fillId="0" borderId="0" xfId="0"/>
    <xf numFmtId="0" fontId="12" fillId="0" borderId="0" xfId="0" applyFont="1" applyAlignment="1">
      <alignment horizontal="left" vertical="top" wrapText="1"/>
    </xf>
    <xf numFmtId="164" fontId="8" fillId="0" borderId="0" xfId="0" applyNumberFormat="1" applyFont="1" applyAlignment="1">
      <alignment horizontal="right" vertical="center"/>
    </xf>
    <xf numFmtId="164" fontId="8" fillId="7" borderId="0" xfId="0" applyNumberFormat="1" applyFont="1" applyFill="1" applyAlignment="1">
      <alignment horizontal="right" vertical="center"/>
    </xf>
    <xf numFmtId="0" fontId="4" fillId="0" borderId="0" xfId="0" applyFont="1" applyAlignment="1">
      <alignment horizontal="left" vertical="top" wrapText="1"/>
    </xf>
    <xf numFmtId="0" fontId="3" fillId="2" borderId="0" xfId="0" applyFont="1" applyFill="1" applyAlignment="1">
      <alignment horizontal="left" vertical="center"/>
    </xf>
    <xf numFmtId="0" fontId="3" fillId="2" borderId="0" xfId="0" applyFont="1" applyFill="1" applyAlignment="1">
      <alignment horizontal="center" vertical="center" wrapText="1"/>
    </xf>
    <xf numFmtId="0" fontId="5" fillId="0" borderId="0" xfId="0" applyFont="1" applyAlignment="1">
      <alignment horizontal="left" vertical="center" wrapText="1"/>
    </xf>
    <xf numFmtId="164" fontId="6" fillId="0" borderId="0" xfId="0" applyNumberFormat="1" applyFont="1" applyAlignment="1">
      <alignment horizontal="right" vertical="center"/>
    </xf>
    <xf numFmtId="164" fontId="7" fillId="0" borderId="0" xfId="0" applyNumberFormat="1" applyFont="1" applyAlignment="1">
      <alignment horizontal="right" vertical="center"/>
    </xf>
    <xf numFmtId="0" fontId="9" fillId="0" borderId="0" xfId="0" applyFont="1" applyAlignment="1">
      <alignment horizontal="left" vertical="top" wrapText="1"/>
    </xf>
    <xf numFmtId="0" fontId="5" fillId="4" borderId="0" xfId="0" applyFont="1" applyFill="1" applyAlignment="1">
      <alignment horizontal="left" vertical="center" wrapText="1"/>
    </xf>
    <xf numFmtId="164" fontId="7" fillId="4" borderId="0" xfId="0" applyNumberFormat="1" applyFont="1" applyFill="1" applyAlignment="1">
      <alignment horizontal="right" vertical="center"/>
    </xf>
    <xf numFmtId="164" fontId="6" fillId="4" borderId="0" xfId="0" applyNumberFormat="1" applyFont="1" applyFill="1" applyAlignment="1">
      <alignment horizontal="right" vertical="center"/>
    </xf>
    <xf numFmtId="164" fontId="8" fillId="4" borderId="0" xfId="0" applyNumberFormat="1" applyFont="1" applyFill="1" applyAlignment="1">
      <alignment horizontal="right" vertical="center"/>
    </xf>
    <xf numFmtId="0" fontId="9" fillId="4" borderId="0" xfId="0" applyFont="1" applyFill="1" applyAlignment="1">
      <alignment horizontal="left" vertical="top" wrapText="1"/>
    </xf>
    <xf numFmtId="164" fontId="6" fillId="5" borderId="0" xfId="0" applyNumberFormat="1" applyFont="1" applyFill="1" applyAlignment="1">
      <alignment horizontal="right" vertical="center"/>
    </xf>
    <xf numFmtId="164" fontId="8" fillId="5" borderId="0" xfId="0" applyNumberFormat="1" applyFont="1" applyFill="1" applyAlignment="1">
      <alignment horizontal="right" vertical="center"/>
    </xf>
    <xf numFmtId="164" fontId="5" fillId="4" borderId="0" xfId="0" applyNumberFormat="1" applyFont="1" applyFill="1" applyAlignment="1">
      <alignment horizontal="right" vertical="center"/>
    </xf>
    <xf numFmtId="164" fontId="3" fillId="2" borderId="0" xfId="0" applyNumberFormat="1" applyFont="1" applyFill="1" applyAlignment="1">
      <alignment horizontal="right" vertical="center"/>
    </xf>
    <xf numFmtId="0" fontId="5" fillId="6" borderId="0" xfId="0" applyFont="1" applyFill="1" applyAlignment="1">
      <alignment horizontal="left" vertical="center"/>
    </xf>
    <xf numFmtId="164" fontId="5" fillId="6" borderId="0" xfId="0" applyNumberFormat="1" applyFont="1" applyFill="1" applyAlignment="1">
      <alignment horizontal="right" vertical="center"/>
    </xf>
    <xf numFmtId="164" fontId="8" fillId="6" borderId="0" xfId="0" applyNumberFormat="1" applyFont="1" applyFill="1" applyAlignment="1">
      <alignment horizontal="right" vertical="center"/>
    </xf>
    <xf numFmtId="0" fontId="5" fillId="7" borderId="0" xfId="0" applyFont="1" applyFill="1" applyAlignment="1">
      <alignment horizontal="left" vertical="center"/>
    </xf>
    <xf numFmtId="0" fontId="5" fillId="8" borderId="0" xfId="0" applyFont="1" applyFill="1" applyAlignment="1">
      <alignment horizontal="left" vertical="center"/>
    </xf>
    <xf numFmtId="0" fontId="5" fillId="0" borderId="0" xfId="0" applyFont="1" applyAlignment="1">
      <alignment horizontal="left" vertical="center"/>
    </xf>
    <xf numFmtId="0" fontId="11" fillId="6" borderId="0" xfId="0" applyFont="1" applyFill="1" applyAlignment="1">
      <alignment horizontal="left" vertical="center"/>
    </xf>
    <xf numFmtId="0" fontId="11" fillId="0" borderId="0" xfId="0" applyFont="1" applyAlignment="1">
      <alignment horizontal="left" vertical="center"/>
    </xf>
    <xf numFmtId="0" fontId="5" fillId="4" borderId="0" xfId="0" applyFont="1" applyFill="1" applyAlignment="1">
      <alignment horizontal="left" vertical="center"/>
    </xf>
    <xf numFmtId="164" fontId="14" fillId="4" borderId="0" xfId="0" applyNumberFormat="1" applyFont="1" applyFill="1" applyAlignment="1">
      <alignment horizontal="right" vertical="center"/>
    </xf>
    <xf numFmtId="0" fontId="4" fillId="4" borderId="0" xfId="0" applyFont="1" applyFill="1" applyAlignment="1">
      <alignment horizontal="left" vertical="top" wrapText="1"/>
    </xf>
    <xf numFmtId="166" fontId="14" fillId="0" borderId="0" xfId="0" applyNumberFormat="1" applyFont="1" applyAlignment="1">
      <alignment horizontal="right" vertical="center"/>
    </xf>
    <xf numFmtId="2" fontId="14" fillId="4" borderId="0" xfId="0" applyNumberFormat="1" applyFont="1" applyFill="1" applyAlignment="1">
      <alignment horizontal="right" vertical="center"/>
    </xf>
    <xf numFmtId="164" fontId="14" fillId="0" borderId="0" xfId="0" applyNumberFormat="1" applyFont="1" applyAlignment="1">
      <alignment horizontal="right" vertical="center"/>
    </xf>
    <xf numFmtId="165" fontId="14" fillId="0" borderId="0" xfId="0" applyNumberFormat="1" applyFont="1" applyAlignment="1">
      <alignment horizontal="right" vertical="center"/>
    </xf>
    <xf numFmtId="0" fontId="15" fillId="9" borderId="0" xfId="0" applyFont="1" applyFill="1" applyAlignment="1">
      <alignment horizontal="center" vertical="center"/>
    </xf>
    <xf numFmtId="0" fontId="3" fillId="3" borderId="0" xfId="0" applyFont="1" applyFill="1" applyAlignment="1">
      <alignment horizontal="center" vertical="center"/>
    </xf>
    <xf numFmtId="0" fontId="16" fillId="6" borderId="0" xfId="0" applyFont="1" applyFill="1" applyAlignment="1">
      <alignment horizontal="left" vertical="top" wrapText="1"/>
    </xf>
    <xf numFmtId="0" fontId="17" fillId="6" borderId="0" xfId="0" applyFont="1" applyFill="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2" fillId="0" borderId="0" xfId="0" applyFont="1" applyAlignment="1">
      <alignment horizontal="left" vertical="top" wrapText="1"/>
    </xf>
    <xf numFmtId="165" fontId="8" fillId="0" borderId="0" xfId="0" applyNumberFormat="1" applyFont="1" applyAlignment="1">
      <alignment horizontal="right" vertical="center"/>
    </xf>
    <xf numFmtId="0" fontId="3" fillId="3" borderId="0" xfId="0" applyFont="1" applyFill="1" applyAlignment="1">
      <alignment horizontal="left" vertical="center"/>
    </xf>
    <xf numFmtId="0" fontId="10" fillId="0" borderId="0" xfId="0" applyFont="1" applyAlignment="1">
      <alignment horizontal="left" vertical="top" wrapText="1"/>
    </xf>
    <xf numFmtId="0" fontId="3" fillId="2" borderId="0" xfId="0" applyFont="1" applyFill="1" applyAlignment="1">
      <alignment horizontal="left" vertical="center"/>
    </xf>
    <xf numFmtId="164" fontId="8" fillId="8" borderId="0" xfId="0" applyNumberFormat="1" applyFont="1" applyFill="1" applyAlignment="1">
      <alignment horizontal="right" vertical="center"/>
    </xf>
    <xf numFmtId="164" fontId="8" fillId="7" borderId="0" xfId="0" applyNumberFormat="1" applyFont="1" applyFill="1" applyAlignment="1">
      <alignment horizontal="right" vertical="center"/>
    </xf>
    <xf numFmtId="164" fontId="8" fillId="0" borderId="0" xfId="0" applyNumberFormat="1" applyFont="1" applyAlignment="1">
      <alignment horizontal="right"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4" fillId="0" borderId="0" xfId="0" applyFont="1" applyAlignment="1">
      <alignment horizontal="left" vertical="top" wrapText="1"/>
    </xf>
    <xf numFmtId="0" fontId="13"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5E0"/>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538DD5"/>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496"/>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4"/>
  <sheetViews>
    <sheetView tabSelected="1" zoomScaleNormal="100" workbookViewId="0">
      <selection activeCell="C37" sqref="C37:F37"/>
    </sheetView>
  </sheetViews>
  <sheetFormatPr baseColWidth="10" defaultColWidth="8.6640625" defaultRowHeight="15" customHeight="1" x14ac:dyDescent="0.2"/>
  <cols>
    <col min="1" max="1" width="58.5" customWidth="1"/>
    <col min="2" max="5" width="14" customWidth="1"/>
    <col min="6" max="6" width="19" customWidth="1"/>
    <col min="7" max="7" width="50.33203125" customWidth="1"/>
  </cols>
  <sheetData>
    <row r="1" spans="1:7" ht="30" customHeight="1" x14ac:dyDescent="0.2">
      <c r="A1" s="49" t="s">
        <v>0</v>
      </c>
      <c r="B1" s="49"/>
      <c r="C1" s="49"/>
      <c r="D1" s="49"/>
      <c r="E1" s="49"/>
      <c r="F1" s="49"/>
      <c r="G1" s="49"/>
    </row>
    <row r="2" spans="1:7" ht="18" customHeight="1" x14ac:dyDescent="0.2">
      <c r="A2" s="50" t="s">
        <v>1</v>
      </c>
      <c r="B2" s="50"/>
      <c r="C2" s="50"/>
      <c r="D2" s="50"/>
      <c r="E2" s="50"/>
      <c r="F2" s="50"/>
      <c r="G2" s="50"/>
    </row>
    <row r="4" spans="1:7" ht="18" customHeight="1" x14ac:dyDescent="0.2">
      <c r="A4" s="45" t="s">
        <v>2</v>
      </c>
      <c r="B4" s="45"/>
      <c r="C4" s="45"/>
      <c r="D4" s="45"/>
      <c r="E4" s="45"/>
      <c r="F4" s="45"/>
      <c r="G4" s="45"/>
    </row>
    <row r="5" spans="1:7" ht="51.75" customHeight="1" x14ac:dyDescent="0.2">
      <c r="A5" s="51" t="s">
        <v>3</v>
      </c>
      <c r="B5" s="51"/>
      <c r="C5" s="51"/>
      <c r="D5" s="51"/>
      <c r="E5" s="51"/>
      <c r="F5" s="51"/>
      <c r="G5" s="51"/>
    </row>
    <row r="7" spans="1:7" ht="30" customHeight="1" x14ac:dyDescent="0.2">
      <c r="A7" s="6" t="s">
        <v>4</v>
      </c>
      <c r="B7" s="6" t="s">
        <v>5</v>
      </c>
      <c r="C7" s="6" t="s">
        <v>6</v>
      </c>
      <c r="D7" s="6" t="s">
        <v>7</v>
      </c>
      <c r="E7" s="6" t="s">
        <v>8</v>
      </c>
      <c r="F7" s="6" t="s">
        <v>9</v>
      </c>
      <c r="G7" s="6" t="s">
        <v>10</v>
      </c>
    </row>
    <row r="8" spans="1:7" ht="19.5" customHeight="1" x14ac:dyDescent="0.2">
      <c r="A8" s="43" t="s">
        <v>11</v>
      </c>
      <c r="B8" s="43"/>
      <c r="C8" s="43"/>
      <c r="D8" s="43"/>
      <c r="E8" s="43"/>
      <c r="F8" s="43"/>
      <c r="G8" s="43"/>
    </row>
    <row r="9" spans="1:7" ht="37" customHeight="1" x14ac:dyDescent="0.2">
      <c r="A9" s="7" t="s">
        <v>12</v>
      </c>
      <c r="B9" s="8">
        <v>137000</v>
      </c>
      <c r="C9" s="9">
        <v>0</v>
      </c>
      <c r="D9" s="9">
        <v>0</v>
      </c>
      <c r="E9" s="9">
        <v>0</v>
      </c>
      <c r="F9" s="2">
        <f t="shared" ref="F9:F14" si="0">SUM(B9:E9)</f>
        <v>137000</v>
      </c>
      <c r="G9" s="10" t="s">
        <v>13</v>
      </c>
    </row>
    <row r="10" spans="1:7" ht="31" customHeight="1" x14ac:dyDescent="0.2">
      <c r="A10" s="11" t="s">
        <v>14</v>
      </c>
      <c r="B10" s="12">
        <v>0</v>
      </c>
      <c r="C10" s="13">
        <v>68000</v>
      </c>
      <c r="D10" s="13">
        <v>68000</v>
      </c>
      <c r="E10" s="13">
        <v>69000</v>
      </c>
      <c r="F10" s="14">
        <f t="shared" si="0"/>
        <v>205000</v>
      </c>
      <c r="G10" s="15" t="s">
        <v>15</v>
      </c>
    </row>
    <row r="11" spans="1:7" ht="39" customHeight="1" x14ac:dyDescent="0.2">
      <c r="A11" s="7" t="s">
        <v>16</v>
      </c>
      <c r="B11" s="9">
        <v>0</v>
      </c>
      <c r="C11" s="8">
        <v>15000</v>
      </c>
      <c r="D11" s="8">
        <v>15000</v>
      </c>
      <c r="E11" s="8">
        <v>20000</v>
      </c>
      <c r="F11" s="2">
        <f t="shared" si="0"/>
        <v>50000</v>
      </c>
      <c r="G11" s="10" t="s">
        <v>17</v>
      </c>
    </row>
    <row r="12" spans="1:7" ht="41" customHeight="1" x14ac:dyDescent="0.2">
      <c r="A12" s="11" t="s">
        <v>18</v>
      </c>
      <c r="B12" s="12">
        <v>0</v>
      </c>
      <c r="C12" s="13">
        <v>12000</v>
      </c>
      <c r="D12" s="13">
        <v>13000</v>
      </c>
      <c r="E12" s="12">
        <v>0</v>
      </c>
      <c r="F12" s="14">
        <f t="shared" si="0"/>
        <v>25000</v>
      </c>
      <c r="G12" s="15" t="s">
        <v>19</v>
      </c>
    </row>
    <row r="13" spans="1:7" ht="36" customHeight="1" x14ac:dyDescent="0.2">
      <c r="A13" s="7" t="s">
        <v>20</v>
      </c>
      <c r="B13" s="9">
        <v>0</v>
      </c>
      <c r="C13" s="9">
        <v>0</v>
      </c>
      <c r="D13" s="8">
        <v>7500</v>
      </c>
      <c r="E13" s="8">
        <v>7500</v>
      </c>
      <c r="F13" s="2">
        <f t="shared" si="0"/>
        <v>15000</v>
      </c>
      <c r="G13" s="10" t="s">
        <v>21</v>
      </c>
    </row>
    <row r="14" spans="1:7" ht="39" customHeight="1" x14ac:dyDescent="0.2">
      <c r="A14" s="11" t="s">
        <v>22</v>
      </c>
      <c r="B14" s="13">
        <v>5000</v>
      </c>
      <c r="C14" s="13">
        <v>5000</v>
      </c>
      <c r="D14" s="13">
        <v>5000</v>
      </c>
      <c r="E14" s="13">
        <v>5000</v>
      </c>
      <c r="F14" s="14">
        <f t="shared" si="0"/>
        <v>20000</v>
      </c>
      <c r="G14" s="15" t="s">
        <v>23</v>
      </c>
    </row>
    <row r="15" spans="1:7" ht="19.5" customHeight="1" x14ac:dyDescent="0.2">
      <c r="A15" s="43" t="s">
        <v>24</v>
      </c>
      <c r="B15" s="43"/>
      <c r="C15" s="43"/>
      <c r="D15" s="43"/>
      <c r="E15" s="43"/>
      <c r="F15" s="43"/>
      <c r="G15" s="43"/>
    </row>
    <row r="16" spans="1:7" ht="46.5" customHeight="1" x14ac:dyDescent="0.2">
      <c r="A16" s="11" t="s">
        <v>25</v>
      </c>
      <c r="B16" s="13">
        <v>17000</v>
      </c>
      <c r="C16" s="12">
        <v>0</v>
      </c>
      <c r="D16" s="12">
        <v>0</v>
      </c>
      <c r="E16" s="12">
        <v>0</v>
      </c>
      <c r="F16" s="14">
        <f>SUM(B16:E16)</f>
        <v>17000</v>
      </c>
      <c r="G16" s="15" t="s">
        <v>26</v>
      </c>
    </row>
    <row r="17" spans="1:7" ht="37.5" customHeight="1" x14ac:dyDescent="0.2">
      <c r="A17" s="7" t="s">
        <v>27</v>
      </c>
      <c r="B17" s="8">
        <v>10000</v>
      </c>
      <c r="C17" s="9">
        <v>0</v>
      </c>
      <c r="D17" s="9">
        <v>0</v>
      </c>
      <c r="E17" s="9">
        <v>0</v>
      </c>
      <c r="F17" s="2">
        <f>SUM(B17:E17)</f>
        <v>10000</v>
      </c>
      <c r="G17" s="10" t="s">
        <v>28</v>
      </c>
    </row>
    <row r="18" spans="1:7" ht="37.5" customHeight="1" x14ac:dyDescent="0.2">
      <c r="A18" s="11" t="s">
        <v>29</v>
      </c>
      <c r="B18" s="12">
        <v>0</v>
      </c>
      <c r="C18" s="13">
        <v>5000</v>
      </c>
      <c r="D18" s="12">
        <v>0</v>
      </c>
      <c r="E18" s="12">
        <v>0</v>
      </c>
      <c r="F18" s="14">
        <f>SUM(B18:E18)</f>
        <v>5000</v>
      </c>
      <c r="G18" s="15" t="s">
        <v>30</v>
      </c>
    </row>
    <row r="19" spans="1:7" ht="19.5" customHeight="1" x14ac:dyDescent="0.2">
      <c r="A19" s="43" t="s">
        <v>31</v>
      </c>
      <c r="B19" s="43"/>
      <c r="C19" s="43"/>
      <c r="D19" s="43"/>
      <c r="E19" s="43"/>
      <c r="F19" s="43"/>
      <c r="G19" s="43"/>
    </row>
    <row r="20" spans="1:7" ht="42" customHeight="1" x14ac:dyDescent="0.2">
      <c r="A20" s="11" t="s">
        <v>32</v>
      </c>
      <c r="B20" s="12">
        <v>0</v>
      </c>
      <c r="C20" s="13">
        <v>3500</v>
      </c>
      <c r="D20" s="12">
        <v>0</v>
      </c>
      <c r="E20" s="12">
        <v>0</v>
      </c>
      <c r="F20" s="14">
        <f>SUM(B20:E20)</f>
        <v>3500</v>
      </c>
      <c r="G20" s="15" t="s">
        <v>33</v>
      </c>
    </row>
    <row r="21" spans="1:7" ht="42.75" customHeight="1" x14ac:dyDescent="0.2">
      <c r="A21" s="7" t="s">
        <v>34</v>
      </c>
      <c r="B21" s="9">
        <v>0</v>
      </c>
      <c r="C21" s="9">
        <v>0</v>
      </c>
      <c r="D21" s="8">
        <v>18000</v>
      </c>
      <c r="E21" s="8">
        <v>12000</v>
      </c>
      <c r="F21" s="2">
        <f>SUM(B21:E21)</f>
        <v>30000</v>
      </c>
      <c r="G21" s="10" t="s">
        <v>35</v>
      </c>
    </row>
    <row r="22" spans="1:7" ht="42.75" customHeight="1" x14ac:dyDescent="0.2">
      <c r="A22" s="11" t="s">
        <v>36</v>
      </c>
      <c r="B22" s="13">
        <v>8000</v>
      </c>
      <c r="C22" s="13">
        <v>5000</v>
      </c>
      <c r="D22" s="13">
        <v>5000</v>
      </c>
      <c r="E22" s="13">
        <v>5000</v>
      </c>
      <c r="F22" s="14">
        <f>SUM(B22:E22)</f>
        <v>23000</v>
      </c>
      <c r="G22" s="15" t="s">
        <v>37</v>
      </c>
    </row>
    <row r="23" spans="1:7" ht="27.75" customHeight="1" x14ac:dyDescent="0.2">
      <c r="A23" s="7" t="s">
        <v>38</v>
      </c>
      <c r="B23" s="9">
        <v>0</v>
      </c>
      <c r="C23" s="8">
        <v>7500</v>
      </c>
      <c r="D23" s="8">
        <v>7500</v>
      </c>
      <c r="E23" s="9">
        <v>0</v>
      </c>
      <c r="F23" s="2">
        <f>SUM(B23:E23)</f>
        <v>15000</v>
      </c>
      <c r="G23" s="10" t="s">
        <v>39</v>
      </c>
    </row>
    <row r="24" spans="1:7" ht="19.5" customHeight="1" x14ac:dyDescent="0.2">
      <c r="A24" s="43" t="s">
        <v>40</v>
      </c>
      <c r="B24" s="43"/>
      <c r="C24" s="43"/>
      <c r="D24" s="43"/>
      <c r="E24" s="43"/>
      <c r="F24" s="43"/>
      <c r="G24" s="43"/>
    </row>
    <row r="25" spans="1:7" ht="70.5" customHeight="1" x14ac:dyDescent="0.2">
      <c r="A25" s="7" t="s">
        <v>41</v>
      </c>
      <c r="B25" s="16">
        <v>15000</v>
      </c>
      <c r="C25" s="16">
        <v>15000</v>
      </c>
      <c r="D25" s="16">
        <v>15000</v>
      </c>
      <c r="E25" s="16">
        <v>15000</v>
      </c>
      <c r="F25" s="17">
        <f>SUM(B25:E25)</f>
        <v>60000</v>
      </c>
      <c r="G25" s="10" t="s">
        <v>42</v>
      </c>
    </row>
    <row r="26" spans="1:7" ht="33" customHeight="1" x14ac:dyDescent="0.2">
      <c r="A26" s="11" t="s">
        <v>43</v>
      </c>
      <c r="B26" s="13">
        <v>2500</v>
      </c>
      <c r="C26" s="13">
        <v>2500</v>
      </c>
      <c r="D26" s="13">
        <v>2500</v>
      </c>
      <c r="E26" s="13">
        <v>2500</v>
      </c>
      <c r="F26" s="14">
        <f>SUM(B26:E26)</f>
        <v>10000</v>
      </c>
      <c r="G26" s="15" t="s">
        <v>44</v>
      </c>
    </row>
    <row r="27" spans="1:7" ht="36.75" customHeight="1" x14ac:dyDescent="0.2">
      <c r="A27" s="7" t="s">
        <v>45</v>
      </c>
      <c r="B27" s="8">
        <v>3500</v>
      </c>
      <c r="C27" s="8">
        <v>3500</v>
      </c>
      <c r="D27" s="8">
        <v>3500</v>
      </c>
      <c r="E27" s="8">
        <v>3500</v>
      </c>
      <c r="F27" s="2">
        <f>SUM(B27:E27)</f>
        <v>14000</v>
      </c>
      <c r="G27" s="10" t="s">
        <v>46</v>
      </c>
    </row>
    <row r="28" spans="1:7" ht="19.5" customHeight="1" x14ac:dyDescent="0.2">
      <c r="A28" s="43" t="s">
        <v>47</v>
      </c>
      <c r="B28" s="43"/>
      <c r="C28" s="43"/>
      <c r="D28" s="43"/>
      <c r="E28" s="43"/>
      <c r="F28" s="43"/>
      <c r="G28" s="43"/>
    </row>
    <row r="29" spans="1:7" ht="58" customHeight="1" x14ac:dyDescent="0.2">
      <c r="A29" s="7" t="s">
        <v>48</v>
      </c>
      <c r="B29" s="18">
        <f>ROUND(SUM(B9:B28)*0.1,0)</f>
        <v>19800</v>
      </c>
      <c r="C29" s="18">
        <f>ROUND(SUM(C9:C28)*0.1,0)</f>
        <v>14200</v>
      </c>
      <c r="D29" s="18">
        <f>ROUND(SUM(D9:D28)*0.1,0)</f>
        <v>16000</v>
      </c>
      <c r="E29" s="18">
        <f>ROUND(SUM(E9:E28)*0.1,0)</f>
        <v>13950</v>
      </c>
      <c r="F29" s="14">
        <f>SUM(B29:E29)</f>
        <v>63950</v>
      </c>
      <c r="G29" s="10" t="s">
        <v>49</v>
      </c>
    </row>
    <row r="31" spans="1:7" ht="21.75" customHeight="1" x14ac:dyDescent="0.2">
      <c r="A31" s="5" t="s">
        <v>50</v>
      </c>
      <c r="B31" s="19">
        <f>SUM(B9:B29)</f>
        <v>217800</v>
      </c>
      <c r="C31" s="19">
        <f>SUM(C9:C29)</f>
        <v>156200</v>
      </c>
      <c r="D31" s="19">
        <f>SUM(D9:D29)</f>
        <v>176000</v>
      </c>
      <c r="E31" s="19">
        <f>SUM(E9:E29)</f>
        <v>153450</v>
      </c>
      <c r="F31" s="19">
        <f>SUM(F9:F29)</f>
        <v>703450</v>
      </c>
    </row>
    <row r="32" spans="1:7" ht="18" customHeight="1" x14ac:dyDescent="0.2">
      <c r="A32" s="20" t="s">
        <v>51</v>
      </c>
      <c r="B32" s="21">
        <f>B31</f>
        <v>217800</v>
      </c>
      <c r="C32" s="21">
        <f>B32+C31</f>
        <v>374000</v>
      </c>
      <c r="D32" s="21">
        <f>C32+D31</f>
        <v>550000</v>
      </c>
      <c r="E32" s="21">
        <f>D32+E31</f>
        <v>703450</v>
      </c>
      <c r="F32" s="22">
        <f>F31</f>
        <v>703450</v>
      </c>
    </row>
    <row r="33" spans="1:7" ht="18" customHeight="1" x14ac:dyDescent="0.2">
      <c r="A33" s="23" t="s">
        <v>52</v>
      </c>
      <c r="B33" s="3">
        <f>Assumptions!B4-B32</f>
        <v>182200</v>
      </c>
      <c r="C33" s="3">
        <f>Assumptions!B4-C32</f>
        <v>26000</v>
      </c>
      <c r="D33" s="3">
        <f>Assumptions!B4-D32</f>
        <v>-150000</v>
      </c>
      <c r="E33" s="3">
        <f>Assumptions!B4-E32</f>
        <v>-303450</v>
      </c>
      <c r="F33" s="3">
        <f>Assumptions!B4-F31</f>
        <v>-303450</v>
      </c>
    </row>
    <row r="35" spans="1:7" ht="21.75" customHeight="1" x14ac:dyDescent="0.2">
      <c r="A35" s="45" t="s">
        <v>53</v>
      </c>
      <c r="B35" s="45"/>
      <c r="C35" s="45"/>
      <c r="D35" s="45"/>
      <c r="E35" s="45"/>
      <c r="F35" s="45"/>
      <c r="G35" s="45"/>
    </row>
    <row r="36" spans="1:7" ht="19.5" customHeight="1" x14ac:dyDescent="0.2">
      <c r="A36" s="24" t="s">
        <v>54</v>
      </c>
      <c r="C36" s="46">
        <f>Assumptions!B3</f>
        <v>0</v>
      </c>
      <c r="D36" s="46"/>
      <c r="E36" s="46"/>
      <c r="F36" s="46"/>
    </row>
    <row r="37" spans="1:7" ht="19.5" customHeight="1" x14ac:dyDescent="0.2">
      <c r="A37" s="24" t="s">
        <v>55</v>
      </c>
      <c r="C37" s="46">
        <f>F31</f>
        <v>703450</v>
      </c>
      <c r="D37" s="46"/>
      <c r="E37" s="46"/>
      <c r="F37" s="46"/>
    </row>
    <row r="38" spans="1:7" ht="19.5" customHeight="1" x14ac:dyDescent="0.2">
      <c r="A38" s="23" t="s">
        <v>56</v>
      </c>
      <c r="C38" s="47">
        <f>Assumptions!B3-F31</f>
        <v>-703450</v>
      </c>
      <c r="D38" s="47"/>
      <c r="E38" s="47"/>
      <c r="F38" s="47"/>
    </row>
    <row r="39" spans="1:7" ht="19.5" customHeight="1" x14ac:dyDescent="0.2">
      <c r="A39" s="25" t="s">
        <v>57</v>
      </c>
      <c r="C39" s="48">
        <f>F31/4</f>
        <v>175862.5</v>
      </c>
      <c r="D39" s="48"/>
      <c r="E39" s="48"/>
      <c r="F39" s="48"/>
    </row>
    <row r="40" spans="1:7" ht="19.5" customHeight="1" x14ac:dyDescent="0.2">
      <c r="A40" s="20" t="s">
        <v>58</v>
      </c>
      <c r="C40" s="48">
        <f>F25</f>
        <v>60000</v>
      </c>
      <c r="D40" s="48"/>
      <c r="E40" s="48"/>
      <c r="F40" s="48"/>
    </row>
    <row r="41" spans="1:7" ht="19.5" customHeight="1" x14ac:dyDescent="0.2">
      <c r="A41" s="25" t="s">
        <v>59</v>
      </c>
      <c r="C41" s="42">
        <f>F25/F31</f>
        <v>8.5293908593361292E-2</v>
      </c>
      <c r="D41" s="42"/>
      <c r="E41" s="42"/>
      <c r="F41" s="42"/>
    </row>
    <row r="43" spans="1:7" ht="19.5" customHeight="1" x14ac:dyDescent="0.2">
      <c r="A43" s="43" t="s">
        <v>60</v>
      </c>
      <c r="B43" s="43"/>
      <c r="C43" s="43"/>
      <c r="D43" s="43"/>
      <c r="E43" s="43"/>
      <c r="F43" s="43"/>
      <c r="G43" s="43"/>
    </row>
    <row r="44" spans="1:7" ht="120" customHeight="1" x14ac:dyDescent="0.2">
      <c r="A44" s="44" t="s">
        <v>61</v>
      </c>
      <c r="B44" s="44"/>
      <c r="C44" s="44"/>
      <c r="D44" s="44"/>
      <c r="E44" s="44"/>
      <c r="F44" s="44"/>
      <c r="G44" s="44"/>
    </row>
    <row r="46" spans="1:7" ht="19.5" customHeight="1" x14ac:dyDescent="0.2">
      <c r="A46" s="45" t="s">
        <v>62</v>
      </c>
      <c r="B46" s="45"/>
      <c r="C46" s="45"/>
      <c r="D46" s="45"/>
      <c r="E46" s="45"/>
      <c r="F46" s="45"/>
      <c r="G46" s="45"/>
    </row>
    <row r="47" spans="1:7" ht="18" customHeight="1" x14ac:dyDescent="0.2">
      <c r="A47" s="26" t="s">
        <v>63</v>
      </c>
    </row>
    <row r="48" spans="1:7" ht="42" customHeight="1" x14ac:dyDescent="0.2">
      <c r="A48" s="41" t="s">
        <v>64</v>
      </c>
      <c r="B48" s="41"/>
      <c r="C48" s="41"/>
      <c r="D48" s="41"/>
      <c r="E48" s="41"/>
      <c r="F48" s="41"/>
      <c r="G48" s="41"/>
    </row>
    <row r="49" spans="1:7" ht="18" customHeight="1" x14ac:dyDescent="0.2">
      <c r="A49" s="27" t="s">
        <v>65</v>
      </c>
    </row>
    <row r="50" spans="1:7" ht="42" customHeight="1" x14ac:dyDescent="0.2">
      <c r="A50" s="41" t="s">
        <v>66</v>
      </c>
      <c r="B50" s="41"/>
      <c r="C50" s="41"/>
      <c r="D50" s="41"/>
      <c r="E50" s="41"/>
      <c r="F50" s="41"/>
      <c r="G50" s="41"/>
    </row>
    <row r="51" spans="1:7" ht="18" customHeight="1" x14ac:dyDescent="0.2">
      <c r="A51" s="26" t="s">
        <v>67</v>
      </c>
    </row>
    <row r="52" spans="1:7" ht="42" customHeight="1" x14ac:dyDescent="0.2">
      <c r="A52" s="41" t="s">
        <v>68</v>
      </c>
      <c r="B52" s="41"/>
      <c r="C52" s="41"/>
      <c r="D52" s="41"/>
      <c r="E52" s="41"/>
      <c r="F52" s="41"/>
      <c r="G52" s="41"/>
    </row>
    <row r="53" spans="1:7" ht="18" customHeight="1" x14ac:dyDescent="0.2">
      <c r="A53" s="27" t="s">
        <v>69</v>
      </c>
    </row>
    <row r="54" spans="1:7" ht="42" customHeight="1" x14ac:dyDescent="0.2">
      <c r="A54" s="41" t="s">
        <v>70</v>
      </c>
      <c r="B54" s="41"/>
      <c r="C54" s="41"/>
      <c r="D54" s="41"/>
      <c r="E54" s="41"/>
      <c r="F54" s="41"/>
      <c r="G54" s="41"/>
    </row>
  </sheetData>
  <mergeCells count="23">
    <mergeCell ref="A1:G1"/>
    <mergeCell ref="A2:G2"/>
    <mergeCell ref="A4:G4"/>
    <mergeCell ref="A5:G5"/>
    <mergeCell ref="A8:G8"/>
    <mergeCell ref="A15:G15"/>
    <mergeCell ref="A19:G19"/>
    <mergeCell ref="A24:G24"/>
    <mergeCell ref="A28:G28"/>
    <mergeCell ref="A35:G35"/>
    <mergeCell ref="C36:F36"/>
    <mergeCell ref="C37:F37"/>
    <mergeCell ref="C38:F38"/>
    <mergeCell ref="C39:F39"/>
    <mergeCell ref="C40:F40"/>
    <mergeCell ref="A50:G50"/>
    <mergeCell ref="A52:G52"/>
    <mergeCell ref="A54:G54"/>
    <mergeCell ref="C41:F41"/>
    <mergeCell ref="A43:G43"/>
    <mergeCell ref="A44:G44"/>
    <mergeCell ref="A46:G46"/>
    <mergeCell ref="A48:G4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zoomScaleNormal="100" workbookViewId="0">
      <selection activeCell="C9" sqref="C9"/>
    </sheetView>
  </sheetViews>
  <sheetFormatPr baseColWidth="10" defaultColWidth="8.6640625" defaultRowHeight="15" customHeight="1" x14ac:dyDescent="0.2"/>
  <cols>
    <col min="1" max="1" width="42" customWidth="1"/>
    <col min="2" max="2" width="22.6640625" customWidth="1"/>
    <col min="3" max="3" width="40.6640625" customWidth="1"/>
  </cols>
  <sheetData>
    <row r="1" spans="1:3" ht="27.75" customHeight="1" x14ac:dyDescent="0.2">
      <c r="A1" s="52" t="s">
        <v>71</v>
      </c>
      <c r="B1" s="52"/>
      <c r="C1" s="52"/>
    </row>
    <row r="3" spans="1:3" ht="19.5" customHeight="1" x14ac:dyDescent="0.2">
      <c r="A3" s="43" t="s">
        <v>72</v>
      </c>
      <c r="B3" s="43"/>
      <c r="C3" s="43"/>
    </row>
    <row r="4" spans="1:3" ht="58.5" customHeight="1" x14ac:dyDescent="0.2">
      <c r="A4" s="28" t="s">
        <v>73</v>
      </c>
      <c r="B4" s="29">
        <v>400000</v>
      </c>
      <c r="C4" s="30" t="s">
        <v>74</v>
      </c>
    </row>
    <row r="5" spans="1:3" ht="42" customHeight="1" x14ac:dyDescent="0.2">
      <c r="A5" s="25" t="s">
        <v>75</v>
      </c>
      <c r="B5" s="31">
        <v>4</v>
      </c>
      <c r="C5" s="4" t="s">
        <v>76</v>
      </c>
    </row>
    <row r="6" spans="1:3" ht="45.75" customHeight="1" x14ac:dyDescent="0.2">
      <c r="A6" s="28" t="s">
        <v>77</v>
      </c>
      <c r="B6" s="32">
        <v>2</v>
      </c>
      <c r="C6" s="30" t="s">
        <v>78</v>
      </c>
    </row>
    <row r="7" spans="1:3" ht="57" customHeight="1" x14ac:dyDescent="0.2">
      <c r="A7" s="25" t="s">
        <v>79</v>
      </c>
      <c r="B7" s="33">
        <v>3217500</v>
      </c>
      <c r="C7" s="4" t="s">
        <v>80</v>
      </c>
    </row>
    <row r="8" spans="1:3" ht="78" customHeight="1" x14ac:dyDescent="0.2">
      <c r="A8" s="28" t="s">
        <v>81</v>
      </c>
      <c r="B8" s="29">
        <v>15000</v>
      </c>
      <c r="C8" s="30" t="s">
        <v>82</v>
      </c>
    </row>
    <row r="9" spans="1:3" ht="57" customHeight="1" x14ac:dyDescent="0.2">
      <c r="A9" s="25" t="s">
        <v>83</v>
      </c>
      <c r="B9" s="34">
        <v>0.1</v>
      </c>
      <c r="C9" s="4" t="s">
        <v>84</v>
      </c>
    </row>
  </sheetData>
  <mergeCells count="2">
    <mergeCell ref="A1:C1"/>
    <mergeCell ref="A3:C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
  <sheetViews>
    <sheetView zoomScaleNormal="100" workbookViewId="0">
      <selection sqref="A1:F1"/>
    </sheetView>
  </sheetViews>
  <sheetFormatPr baseColWidth="10" defaultColWidth="8.6640625" defaultRowHeight="15" customHeight="1" x14ac:dyDescent="0.2"/>
  <cols>
    <col min="1" max="1" width="43.6640625" customWidth="1"/>
    <col min="2" max="3" width="12" customWidth="1"/>
    <col min="4" max="4" width="16.6640625" customWidth="1"/>
    <col min="5" max="5" width="12" customWidth="1"/>
    <col min="6" max="6" width="20" customWidth="1"/>
  </cols>
  <sheetData>
    <row r="1" spans="1:6" ht="27.75" customHeight="1" x14ac:dyDescent="0.2">
      <c r="A1" s="52" t="s">
        <v>85</v>
      </c>
      <c r="B1" s="52"/>
      <c r="C1" s="52"/>
      <c r="D1" s="52"/>
      <c r="E1" s="52"/>
      <c r="F1" s="52"/>
    </row>
    <row r="2" spans="1:6" ht="18" customHeight="1" x14ac:dyDescent="0.2">
      <c r="A2" s="50" t="s">
        <v>86</v>
      </c>
      <c r="B2" s="50"/>
      <c r="C2" s="50"/>
      <c r="D2" s="50"/>
      <c r="E2" s="50"/>
      <c r="F2" s="50"/>
    </row>
    <row r="4" spans="1:6" ht="27.75" customHeight="1" x14ac:dyDescent="0.2">
      <c r="A4" s="6" t="s">
        <v>87</v>
      </c>
      <c r="B4" s="6" t="s">
        <v>5</v>
      </c>
      <c r="C4" s="6" t="s">
        <v>6</v>
      </c>
      <c r="D4" s="6" t="s">
        <v>7</v>
      </c>
      <c r="E4" s="6" t="s">
        <v>8</v>
      </c>
      <c r="F4" s="6" t="s">
        <v>88</v>
      </c>
    </row>
    <row r="5" spans="1:6" ht="19.5" customHeight="1" x14ac:dyDescent="0.2">
      <c r="A5" s="43" t="s">
        <v>89</v>
      </c>
      <c r="B5" s="43"/>
      <c r="C5" s="43"/>
      <c r="D5" s="43"/>
      <c r="E5" s="43"/>
      <c r="F5" s="43"/>
    </row>
    <row r="6" spans="1:6" ht="36" customHeight="1" x14ac:dyDescent="0.2">
      <c r="A6" s="7" t="s">
        <v>90</v>
      </c>
      <c r="B6" s="35" t="s">
        <v>91</v>
      </c>
      <c r="F6" s="1" t="s">
        <v>92</v>
      </c>
    </row>
    <row r="7" spans="1:6" ht="36" customHeight="1" x14ac:dyDescent="0.2">
      <c r="A7" s="7" t="s">
        <v>93</v>
      </c>
      <c r="B7" s="35" t="s">
        <v>91</v>
      </c>
      <c r="C7" s="35" t="s">
        <v>91</v>
      </c>
      <c r="F7" s="1" t="s">
        <v>94</v>
      </c>
    </row>
    <row r="8" spans="1:6" ht="36" customHeight="1" x14ac:dyDescent="0.2">
      <c r="A8" s="7" t="s">
        <v>95</v>
      </c>
      <c r="C8" s="35" t="s">
        <v>91</v>
      </c>
      <c r="D8" s="35" t="s">
        <v>91</v>
      </c>
      <c r="F8" s="1" t="s">
        <v>96</v>
      </c>
    </row>
    <row r="9" spans="1:6" ht="36" customHeight="1" x14ac:dyDescent="0.2">
      <c r="A9" s="7" t="s">
        <v>97</v>
      </c>
      <c r="C9" s="35" t="s">
        <v>91</v>
      </c>
      <c r="D9" s="35" t="s">
        <v>91</v>
      </c>
      <c r="E9" s="35" t="s">
        <v>91</v>
      </c>
      <c r="F9" s="1" t="s">
        <v>98</v>
      </c>
    </row>
    <row r="10" spans="1:6" ht="36" customHeight="1" x14ac:dyDescent="0.2">
      <c r="A10" s="7" t="s">
        <v>99</v>
      </c>
      <c r="C10" s="35" t="s">
        <v>91</v>
      </c>
      <c r="D10" s="35" t="s">
        <v>91</v>
      </c>
      <c r="F10" s="1" t="s">
        <v>100</v>
      </c>
    </row>
    <row r="11" spans="1:6" ht="36" customHeight="1" x14ac:dyDescent="0.2">
      <c r="A11" s="7" t="s">
        <v>101</v>
      </c>
      <c r="D11" s="35" t="s">
        <v>91</v>
      </c>
      <c r="E11" s="35" t="s">
        <v>91</v>
      </c>
      <c r="F11" s="1" t="s">
        <v>102</v>
      </c>
    </row>
    <row r="12" spans="1:6" ht="19.5" customHeight="1" x14ac:dyDescent="0.2">
      <c r="A12" s="43" t="s">
        <v>103</v>
      </c>
      <c r="B12" s="43"/>
      <c r="C12" s="43"/>
      <c r="D12" s="43"/>
      <c r="E12" s="43"/>
      <c r="F12" s="43"/>
    </row>
    <row r="13" spans="1:6" ht="36" customHeight="1" x14ac:dyDescent="0.2">
      <c r="A13" s="7" t="s">
        <v>104</v>
      </c>
      <c r="B13" s="35" t="s">
        <v>91</v>
      </c>
      <c r="C13" s="35" t="s">
        <v>91</v>
      </c>
      <c r="F13" s="1" t="s">
        <v>105</v>
      </c>
    </row>
    <row r="14" spans="1:6" ht="36" customHeight="1" x14ac:dyDescent="0.2">
      <c r="A14" s="7" t="s">
        <v>106</v>
      </c>
      <c r="B14" s="35" t="s">
        <v>91</v>
      </c>
      <c r="F14" s="1" t="s">
        <v>107</v>
      </c>
    </row>
    <row r="15" spans="1:6" ht="36" customHeight="1" x14ac:dyDescent="0.2">
      <c r="A15" s="7" t="s">
        <v>108</v>
      </c>
      <c r="C15" s="35" t="s">
        <v>91</v>
      </c>
      <c r="F15" s="1" t="s">
        <v>109</v>
      </c>
    </row>
    <row r="16" spans="1:6" ht="19.5" customHeight="1" x14ac:dyDescent="0.2">
      <c r="A16" s="43" t="s">
        <v>110</v>
      </c>
      <c r="B16" s="43"/>
      <c r="C16" s="43"/>
      <c r="D16" s="43"/>
      <c r="E16" s="43"/>
      <c r="F16" s="43"/>
    </row>
    <row r="17" spans="1:6" ht="36" customHeight="1" x14ac:dyDescent="0.2">
      <c r="A17" s="7" t="s">
        <v>111</v>
      </c>
      <c r="B17" s="35" t="s">
        <v>91</v>
      </c>
      <c r="F17" s="1" t="s">
        <v>112</v>
      </c>
    </row>
    <row r="18" spans="1:6" ht="36" customHeight="1" x14ac:dyDescent="0.2">
      <c r="A18" s="7" t="s">
        <v>113</v>
      </c>
      <c r="C18" s="35" t="s">
        <v>91</v>
      </c>
      <c r="F18" s="1" t="s">
        <v>114</v>
      </c>
    </row>
    <row r="19" spans="1:6" ht="36" customHeight="1" x14ac:dyDescent="0.2">
      <c r="A19" s="7" t="s">
        <v>115</v>
      </c>
      <c r="C19" s="35" t="s">
        <v>91</v>
      </c>
      <c r="F19" s="1" t="s">
        <v>116</v>
      </c>
    </row>
    <row r="20" spans="1:6" ht="36" customHeight="1" x14ac:dyDescent="0.2">
      <c r="A20" s="7" t="s">
        <v>117</v>
      </c>
      <c r="D20" s="35" t="s">
        <v>91</v>
      </c>
      <c r="E20" s="35" t="s">
        <v>91</v>
      </c>
      <c r="F20" s="1" t="s">
        <v>118</v>
      </c>
    </row>
    <row r="21" spans="1:6" ht="36" customHeight="1" x14ac:dyDescent="0.2">
      <c r="A21" s="7" t="s">
        <v>119</v>
      </c>
      <c r="E21" s="35" t="s">
        <v>91</v>
      </c>
      <c r="F21" s="1" t="s">
        <v>120</v>
      </c>
    </row>
    <row r="22" spans="1:6" ht="36" customHeight="1" x14ac:dyDescent="0.2">
      <c r="A22" s="7" t="s">
        <v>121</v>
      </c>
      <c r="D22" s="35" t="s">
        <v>91</v>
      </c>
      <c r="E22" s="35" t="s">
        <v>91</v>
      </c>
      <c r="F22" s="1" t="s">
        <v>122</v>
      </c>
    </row>
    <row r="23" spans="1:6" ht="36" customHeight="1" x14ac:dyDescent="0.2">
      <c r="A23" s="7" t="s">
        <v>123</v>
      </c>
      <c r="E23" s="35" t="s">
        <v>91</v>
      </c>
      <c r="F23" s="1" t="s">
        <v>124</v>
      </c>
    </row>
    <row r="24" spans="1:6" ht="19.5" customHeight="1" x14ac:dyDescent="0.2">
      <c r="A24" s="43" t="s">
        <v>125</v>
      </c>
      <c r="B24" s="43"/>
      <c r="C24" s="43"/>
      <c r="D24" s="43"/>
      <c r="E24" s="43"/>
      <c r="F24" s="43"/>
    </row>
    <row r="25" spans="1:6" ht="36" customHeight="1" x14ac:dyDescent="0.2">
      <c r="A25" s="7" t="s">
        <v>126</v>
      </c>
      <c r="B25" s="35" t="s">
        <v>91</v>
      </c>
      <c r="C25" s="35" t="s">
        <v>91</v>
      </c>
      <c r="F25" s="1" t="s">
        <v>127</v>
      </c>
    </row>
    <row r="26" spans="1:6" ht="36" customHeight="1" x14ac:dyDescent="0.2">
      <c r="A26" s="7" t="s">
        <v>128</v>
      </c>
      <c r="C26" s="35" t="s">
        <v>91</v>
      </c>
      <c r="D26" s="35" t="s">
        <v>91</v>
      </c>
      <c r="F26" s="1" t="s">
        <v>129</v>
      </c>
    </row>
    <row r="27" spans="1:6" ht="36" customHeight="1" x14ac:dyDescent="0.2">
      <c r="A27" s="7" t="s">
        <v>130</v>
      </c>
      <c r="C27" s="35" t="s">
        <v>91</v>
      </c>
      <c r="D27" s="35" t="s">
        <v>91</v>
      </c>
      <c r="F27" s="1" t="s">
        <v>131</v>
      </c>
    </row>
    <row r="28" spans="1:6" ht="36" customHeight="1" x14ac:dyDescent="0.2">
      <c r="A28" s="7" t="s">
        <v>132</v>
      </c>
      <c r="B28" s="35" t="s">
        <v>91</v>
      </c>
      <c r="F28" s="1" t="s">
        <v>133</v>
      </c>
    </row>
    <row r="29" spans="1:6" ht="19.5" customHeight="1" x14ac:dyDescent="0.2">
      <c r="A29" s="43" t="s">
        <v>134</v>
      </c>
      <c r="B29" s="43"/>
      <c r="C29" s="43"/>
      <c r="D29" s="43"/>
      <c r="E29" s="43"/>
      <c r="F29" s="43"/>
    </row>
    <row r="30" spans="1:6" ht="36" customHeight="1" x14ac:dyDescent="0.2">
      <c r="A30" s="7" t="s">
        <v>135</v>
      </c>
      <c r="B30" s="35" t="s">
        <v>91</v>
      </c>
      <c r="C30" s="35" t="s">
        <v>91</v>
      </c>
      <c r="D30" s="35" t="s">
        <v>91</v>
      </c>
      <c r="E30" s="35" t="s">
        <v>91</v>
      </c>
      <c r="F30" s="1" t="s">
        <v>136</v>
      </c>
    </row>
    <row r="31" spans="1:6" ht="36" customHeight="1" x14ac:dyDescent="0.2">
      <c r="A31" s="7" t="s">
        <v>137</v>
      </c>
      <c r="B31" s="35" t="s">
        <v>91</v>
      </c>
      <c r="C31" s="35" t="s">
        <v>91</v>
      </c>
      <c r="D31" s="35" t="s">
        <v>91</v>
      </c>
      <c r="E31" s="35" t="s">
        <v>91</v>
      </c>
      <c r="F31" s="1" t="s">
        <v>138</v>
      </c>
    </row>
    <row r="32" spans="1:6" ht="36" customHeight="1" x14ac:dyDescent="0.2">
      <c r="A32" s="7" t="s">
        <v>139</v>
      </c>
      <c r="C32" s="35" t="s">
        <v>91</v>
      </c>
      <c r="D32" s="35" t="s">
        <v>91</v>
      </c>
      <c r="E32" s="35" t="s">
        <v>91</v>
      </c>
      <c r="F32" s="1" t="s">
        <v>140</v>
      </c>
    </row>
    <row r="34" spans="1:6" ht="19.5" customHeight="1" x14ac:dyDescent="0.2">
      <c r="A34" s="45" t="s">
        <v>141</v>
      </c>
      <c r="B34" s="45"/>
      <c r="C34" s="45"/>
      <c r="D34" s="45"/>
      <c r="E34" s="45"/>
      <c r="F34" s="45"/>
    </row>
    <row r="35" spans="1:6" ht="19.5" customHeight="1" x14ac:dyDescent="0.2">
      <c r="A35" s="36" t="s">
        <v>142</v>
      </c>
      <c r="B35" s="36" t="s">
        <v>143</v>
      </c>
      <c r="C35" s="36" t="s">
        <v>144</v>
      </c>
      <c r="D35" s="36" t="s">
        <v>145</v>
      </c>
    </row>
    <row r="36" spans="1:6" ht="36" customHeight="1" x14ac:dyDescent="0.2">
      <c r="A36" s="37" t="s">
        <v>146</v>
      </c>
      <c r="B36" s="38" t="s">
        <v>147</v>
      </c>
      <c r="C36" s="38" t="s">
        <v>148</v>
      </c>
      <c r="D36" s="38" t="s">
        <v>149</v>
      </c>
    </row>
    <row r="37" spans="1:6" ht="36" customHeight="1" x14ac:dyDescent="0.2">
      <c r="A37" s="39" t="s">
        <v>150</v>
      </c>
      <c r="B37" s="40" t="s">
        <v>147</v>
      </c>
      <c r="C37" s="40" t="s">
        <v>151</v>
      </c>
      <c r="D37" s="40" t="s">
        <v>152</v>
      </c>
    </row>
    <row r="38" spans="1:6" ht="36" customHeight="1" x14ac:dyDescent="0.2">
      <c r="A38" s="37" t="s">
        <v>153</v>
      </c>
      <c r="B38" s="38" t="s">
        <v>154</v>
      </c>
      <c r="C38" s="38" t="s">
        <v>155</v>
      </c>
      <c r="D38" s="38" t="s">
        <v>156</v>
      </c>
    </row>
    <row r="39" spans="1:6" ht="36" customHeight="1" x14ac:dyDescent="0.2">
      <c r="A39" s="39" t="s">
        <v>157</v>
      </c>
      <c r="B39" s="40" t="s">
        <v>158</v>
      </c>
      <c r="C39" s="40" t="s">
        <v>159</v>
      </c>
      <c r="D39" s="40" t="s">
        <v>160</v>
      </c>
    </row>
    <row r="40" spans="1:6" ht="36" customHeight="1" x14ac:dyDescent="0.2">
      <c r="A40" s="37" t="s">
        <v>161</v>
      </c>
      <c r="B40" s="38" t="s">
        <v>162</v>
      </c>
      <c r="C40" s="38" t="s">
        <v>163</v>
      </c>
      <c r="D40" s="38" t="s">
        <v>164</v>
      </c>
    </row>
    <row r="41" spans="1:6" ht="36" customHeight="1" x14ac:dyDescent="0.2">
      <c r="A41" s="39" t="s">
        <v>165</v>
      </c>
      <c r="B41" s="40" t="s">
        <v>166</v>
      </c>
      <c r="C41" s="40" t="s">
        <v>167</v>
      </c>
      <c r="D41" s="40" t="s">
        <v>168</v>
      </c>
    </row>
    <row r="42" spans="1:6" ht="36" customHeight="1" x14ac:dyDescent="0.2">
      <c r="A42" s="37" t="s">
        <v>169</v>
      </c>
      <c r="B42" s="38" t="s">
        <v>166</v>
      </c>
      <c r="C42" s="38" t="s">
        <v>170</v>
      </c>
      <c r="D42" s="38" t="s">
        <v>171</v>
      </c>
    </row>
    <row r="43" spans="1:6" ht="36" customHeight="1" x14ac:dyDescent="0.2">
      <c r="A43" s="39" t="s">
        <v>172</v>
      </c>
      <c r="B43" s="40" t="s">
        <v>173</v>
      </c>
      <c r="C43" s="40" t="s">
        <v>174</v>
      </c>
      <c r="D43" s="40" t="s">
        <v>175</v>
      </c>
    </row>
    <row r="44" spans="1:6" ht="36" customHeight="1" x14ac:dyDescent="0.2">
      <c r="A44" s="37" t="s">
        <v>176</v>
      </c>
      <c r="B44" s="38" t="s">
        <v>177</v>
      </c>
      <c r="C44" s="38" t="s">
        <v>118</v>
      </c>
      <c r="D44" s="38" t="s">
        <v>178</v>
      </c>
    </row>
    <row r="45" spans="1:6" ht="36" customHeight="1" x14ac:dyDescent="0.2">
      <c r="A45" s="39" t="s">
        <v>179</v>
      </c>
      <c r="B45" s="40" t="s">
        <v>180</v>
      </c>
      <c r="C45" s="40" t="s">
        <v>181</v>
      </c>
      <c r="D45" s="40" t="s">
        <v>182</v>
      </c>
    </row>
    <row r="46" spans="1:6" ht="36" customHeight="1" x14ac:dyDescent="0.2">
      <c r="A46" s="37" t="s">
        <v>183</v>
      </c>
      <c r="B46" s="38" t="s">
        <v>180</v>
      </c>
      <c r="C46" s="38" t="s">
        <v>184</v>
      </c>
      <c r="D46" s="38" t="s">
        <v>185</v>
      </c>
    </row>
  </sheetData>
  <mergeCells count="8">
    <mergeCell ref="A24:F24"/>
    <mergeCell ref="A29:F29"/>
    <mergeCell ref="A34:F34"/>
    <mergeCell ref="A1:F1"/>
    <mergeCell ref="A2:F2"/>
    <mergeCell ref="A5:F5"/>
    <mergeCell ref="A12:F12"/>
    <mergeCell ref="A16:F1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Pre-Dev Budget</vt:lpstr>
      <vt:lpstr>Assumptions</vt:lpstr>
      <vt:lpstr>Programme 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YOTEL Barbados Pre-Development Funding Projections</dc:title>
  <dc:subject/>
  <dc:creator>Kevyn Shorey</dc:creator>
  <dc:description/>
  <cp:lastModifiedBy>Kevyn Shorey</cp:lastModifiedBy>
  <cp:revision>0</cp:revision>
  <dcterms:created xsi:type="dcterms:W3CDTF">2026-02-19T22:43:26Z</dcterms:created>
  <dcterms:modified xsi:type="dcterms:W3CDTF">2026-03-05T11:48:07Z</dcterms:modified>
  <dc:language>en-US</dc:language>
</cp:coreProperties>
</file>
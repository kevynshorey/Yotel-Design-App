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kevynshorey/Library/Mobile Documents/com~apple~CloudDocs/Documents/YOTEL/MAGNUS /"/>
    </mc:Choice>
  </mc:AlternateContent>
  <xr:revisionPtr revIDLastSave="0" documentId="8_{3DF31776-97F2-A046-9CB1-D8C203CA9FA7}" xr6:coauthVersionLast="47" xr6:coauthVersionMax="47" xr10:uidLastSave="{00000000-0000-0000-0000-000000000000}"/>
  <bookViews>
    <workbookView xWindow="0" yWindow="0" windowWidth="38400" windowHeight="21600" tabRatio="500" activeTab="2" xr2:uid="{00000000-000D-0000-FFFF-FFFF00000000}"/>
  </bookViews>
  <sheets>
    <sheet name="Fund Assumptions" sheetId="1" r:id="rId1"/>
    <sheet name="Treasury Cashflow" sheetId="2" r:id="rId2"/>
    <sheet name="Waterfall Analysis" sheetId="3" r:id="rId3"/>
    <sheet name="Construction Drawdown" sheetId="4" r:id="rId4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3" l="1"/>
  <c r="C8" i="3"/>
  <c r="C9" i="3" s="1"/>
  <c r="B27" i="2"/>
  <c r="B24" i="2"/>
  <c r="C21" i="2"/>
  <c r="B25" i="2" s="1"/>
  <c r="B5" i="2"/>
  <c r="D5" i="2" s="1"/>
  <c r="B35" i="1"/>
  <c r="B36" i="1" s="1"/>
  <c r="B6" i="3" s="1"/>
  <c r="B33" i="1"/>
  <c r="B27" i="1"/>
  <c r="B25" i="1"/>
  <c r="B19" i="1"/>
  <c r="B17" i="1"/>
  <c r="B11" i="1"/>
  <c r="B34" i="3" s="1"/>
  <c r="C9" i="1"/>
  <c r="B9" i="1"/>
  <c r="C8" i="1"/>
  <c r="C7" i="1"/>
  <c r="B6" i="2" l="1"/>
  <c r="D6" i="2" s="1"/>
  <c r="E5" i="2"/>
  <c r="B7" i="3"/>
  <c r="B13" i="3" l="1"/>
  <c r="B9" i="3"/>
  <c r="F5" i="2"/>
  <c r="E6" i="2"/>
  <c r="F6" i="2" s="1"/>
  <c r="B7" i="2"/>
  <c r="D7" i="2" s="1"/>
  <c r="G5" i="2" l="1"/>
  <c r="G6" i="2" s="1"/>
  <c r="B8" i="2"/>
  <c r="D8" i="2" s="1"/>
  <c r="E7" i="2"/>
  <c r="F7" i="2" s="1"/>
  <c r="B10" i="3"/>
  <c r="E8" i="2" l="1"/>
  <c r="F8" i="2" s="1"/>
  <c r="B9" i="2"/>
  <c r="D9" i="2" s="1"/>
  <c r="G7" i="2"/>
  <c r="G8" i="2" s="1"/>
  <c r="B10" i="2" l="1"/>
  <c r="D10" i="2" s="1"/>
  <c r="E9" i="2"/>
  <c r="F9" i="2" l="1"/>
  <c r="G9" i="2" s="1"/>
  <c r="G10" i="2" s="1"/>
  <c r="B11" i="2"/>
  <c r="D11" i="2" s="1"/>
  <c r="E10" i="2"/>
  <c r="F10" i="2" s="1"/>
  <c r="E11" i="2" l="1"/>
  <c r="F11" i="2" s="1"/>
  <c r="B12" i="2"/>
  <c r="D12" i="2" s="1"/>
  <c r="G11" i="2"/>
  <c r="B13" i="2" l="1"/>
  <c r="D13" i="2" s="1"/>
  <c r="E12" i="2"/>
  <c r="F12" i="2" s="1"/>
  <c r="G12" i="2" s="1"/>
  <c r="B14" i="2" l="1"/>
  <c r="D14" i="2" s="1"/>
  <c r="E13" i="2"/>
  <c r="F13" i="2" s="1"/>
  <c r="G13" i="2" s="1"/>
  <c r="B15" i="2" l="1"/>
  <c r="D15" i="2" s="1"/>
  <c r="E14" i="2"/>
  <c r="F14" i="2" s="1"/>
  <c r="G14" i="2" s="1"/>
  <c r="E15" i="2" l="1"/>
  <c r="F15" i="2" s="1"/>
  <c r="G15" i="2" s="1"/>
  <c r="B16" i="2"/>
  <c r="D16" i="2" s="1"/>
  <c r="E16" i="2" l="1"/>
  <c r="F16" i="2" s="1"/>
  <c r="G16" i="2" s="1"/>
  <c r="B17" i="2"/>
  <c r="D17" i="2" s="1"/>
  <c r="B18" i="2" l="1"/>
  <c r="D18" i="2" s="1"/>
  <c r="E17" i="2"/>
  <c r="F17" i="2" s="1"/>
  <c r="G17" i="2" s="1"/>
  <c r="B19" i="2" l="1"/>
  <c r="D19" i="2" s="1"/>
  <c r="E18" i="2"/>
  <c r="F18" i="2" s="1"/>
  <c r="G18" i="2" s="1"/>
  <c r="E19" i="2" l="1"/>
  <c r="F19" i="2" s="1"/>
  <c r="G19" i="2" s="1"/>
  <c r="B20" i="2"/>
  <c r="D20" i="2" s="1"/>
  <c r="E20" i="2" s="1"/>
  <c r="F20" i="2" l="1"/>
  <c r="F21" i="2" s="1"/>
  <c r="E21" i="2"/>
  <c r="B26" i="2" l="1"/>
  <c r="B20" i="1"/>
  <c r="B14" i="3" s="1"/>
  <c r="G20" i="2"/>
  <c r="G21" i="2" s="1"/>
  <c r="B38" i="3" l="1"/>
  <c r="B15" i="3"/>
  <c r="B16" i="3" s="1"/>
  <c r="B17" i="3" l="1"/>
  <c r="B20" i="3" s="1"/>
  <c r="D22" i="3" l="1"/>
  <c r="B29" i="3" s="1"/>
  <c r="D29" i="3" s="1"/>
  <c r="C22" i="3"/>
  <c r="B28" i="3" s="1"/>
  <c r="B21" i="3"/>
  <c r="B27" i="3" s="1"/>
  <c r="C35" i="3" l="1"/>
  <c r="C28" i="3"/>
  <c r="C36" i="3" s="1"/>
  <c r="D28" i="3"/>
  <c r="C37" i="3" s="1"/>
  <c r="B30" i="3"/>
  <c r="B35" i="3"/>
  <c r="D27" i="3"/>
  <c r="B37" i="3" s="1"/>
  <c r="C27" i="3"/>
  <c r="B36" i="3" s="1"/>
  <c r="B23" i="3"/>
</calcChain>
</file>

<file path=xl/sharedStrings.xml><?xml version="1.0" encoding="utf-8"?>
<sst xmlns="http://schemas.openxmlformats.org/spreadsheetml/2006/main" count="252" uniqueCount="226">
  <si>
    <t>YOTEL + YOTELPAD BARBADOS  |  MAGNUS CAPITAL STRUCTURE  |  TREASURY MANAGEMENT &amp; WATERFALL MODEL</t>
  </si>
  <si>
    <t>Single-site Barbados analysis  |  Coruscant Developments Ltd.  |  Confidential</t>
  </si>
  <si>
    <t>CAPITAL STRUCTURE  (Barbados single site)</t>
  </si>
  <si>
    <t>Item</t>
  </si>
  <si>
    <t>USD Amount</t>
  </si>
  <si>
    <t>% of Stack</t>
  </si>
  <si>
    <t>Notes</t>
  </si>
  <si>
    <t xml:space="preserve">   Total Development Cost</t>
  </si>
  <si>
    <t>Fixed; per project budget</t>
  </si>
  <si>
    <t xml:space="preserve">   Senior Debt</t>
  </si>
  <si>
    <t>6.5% interest-only; Caribbean institutional lender</t>
  </si>
  <si>
    <t xml:space="preserve">   Mezzanine Debt</t>
  </si>
  <si>
    <t>11% PIK; negotiate cash-pay vs compounding</t>
  </si>
  <si>
    <t xml:space="preserve">   Total LP Equity Required</t>
  </si>
  <si>
    <t>To be raised via Magnus 506C fund structure</t>
  </si>
  <si>
    <t xml:space="preserve">     of which: Coruscant GP Co-invest (target)</t>
  </si>
  <si>
    <t>GP co-invest to align with LP investors</t>
  </si>
  <si>
    <t xml:space="preserve">     of which: LP Capital (third-party raise)</t>
  </si>
  <si>
    <t>TREASURY MANAGEMENT ASSUMPTIONS  (Phil / Magnus call)</t>
  </si>
  <si>
    <t>Parameter</t>
  </si>
  <si>
    <t>Value</t>
  </si>
  <si>
    <t>Basis</t>
  </si>
  <si>
    <t xml:space="preserve">   LP Capital Called at Closing (Month 0)</t>
  </si>
  <si>
    <t>Phil proposed calling full equity upfront; use 7M as base case (total equity less GP co-invest)</t>
  </si>
  <si>
    <t xml:space="preserve">   Treasury Yield Rate (annualised)</t>
  </si>
  <si>
    <t>Phil stated up to $83k/month on $10M = ~10% p.a. Verify with RIA before committing</t>
  </si>
  <si>
    <t xml:space="preserve">   Monthly Treasury Yield on Parked Capital</t>
  </si>
  <si>
    <t>Max monthly yield (Month 0 balance). Actual monthly yield declines as capital is drawn.</t>
  </si>
  <si>
    <t xml:space="preserve">   Pre-Opening Period (months; capital parked)</t>
  </si>
  <si>
    <t>Months 1-16 from August 2026; capital deployed into construction per drawdown schedule. Opening target Q4 2027.</t>
  </si>
  <si>
    <t xml:space="preserve">   Capital Deployed per Month (avg construction draw)</t>
  </si>
  <si>
    <t>Simplification; actual drawdown is back-loaded. See Drawdown tab.</t>
  </si>
  <si>
    <t xml:space="preserve">   Total APR Paid to LPs over Pre-Opening</t>
  </si>
  <si>
    <t>Actual total yield from Treasury Cashflow tab (yield earned on declining balance as draws occur)</t>
  </si>
  <si>
    <t>LP PREFERRED RETURN &amp; WATERFALL ASSUMPTIONS</t>
  </si>
  <si>
    <t xml:space="preserve">   LP Preferred Return (hurdle rate)</t>
  </si>
  <si>
    <t>Annual cash return LPs must receive before GP participates in profits</t>
  </si>
  <si>
    <t xml:space="preserve">   LP Share of Distributable Income (above hurdle)</t>
  </si>
  <si>
    <t>Phil: standard 70/30 LP/GP split on distributions above preferred return</t>
  </si>
  <si>
    <t xml:space="preserve">   GP Share of Distributable Income (carry)</t>
  </si>
  <si>
    <t>30% GP carry; Magnus takes 10-15% of this GP slice</t>
  </si>
  <si>
    <t xml:space="preserve">   Magnus Share of GP Carry</t>
  </si>
  <si>
    <t>Phil stated 10-15%; using 12.5% midpoint. Verify in term sheet.</t>
  </si>
  <si>
    <t xml:space="preserve">   Coruscant Share of GP Carry</t>
  </si>
  <si>
    <t>87.5% of the 30% GP slice</t>
  </si>
  <si>
    <t>EXIT ASSUMPTIONS</t>
  </si>
  <si>
    <t xml:space="preserve">   Exit Year</t>
  </si>
  <si>
    <t>Phil suggested Year 5 portfolio exit; single-site modelled here</t>
  </si>
  <si>
    <t xml:space="preserve">   Year 5 NOI (from main financial model)</t>
  </si>
  <si>
    <t>Source: YOTEL Barbados Financial Model v2, Year 5 NOI. Update when model finalised.</t>
  </si>
  <si>
    <t xml:space="preserve">   Exit Cap Rate</t>
  </si>
  <si>
    <t>8.5% Caribbean hotel cap rate; consistent with main model</t>
  </si>
  <si>
    <t xml:space="preserve">   Gross Exit Property Value (NOI / Cap Rate)</t>
  </si>
  <si>
    <t>Implied valuation at exit</t>
  </si>
  <si>
    <t xml:space="preserve">   Less: Outstanding Senior Debt at Exit</t>
  </si>
  <si>
    <t>Assumed interest-only; principal outstanding at Year 5</t>
  </si>
  <si>
    <t xml:space="preserve">   Less: Outstanding Mezzanine (PIK accrued 5yr @ 11%)</t>
  </si>
  <si>
    <t>PIK compounds; no cash pay. $5M grows to ~$8.4M over 5 years at 11%.</t>
  </si>
  <si>
    <t xml:space="preserve">   Net Equity Proceeds at Exit</t>
  </si>
  <si>
    <t>Total distributable to equity stack at exit</t>
  </si>
  <si>
    <t>TREASURY MANAGEMENT  |  Month-by-Month Pre-Opening Cashflow  (USD)</t>
  </si>
  <si>
    <t>LP capital called at Month 0 (August 2026). Treasury yield paid monthly. Capital drawn down into build per 16-month schedule. Opening: Q4 2027.</t>
  </si>
  <si>
    <t>Month</t>
  </si>
  <si>
    <t>Opening Balance</t>
  </si>
  <si>
    <t>Construction Draw</t>
  </si>
  <si>
    <t>Closing Balance</t>
  </si>
  <si>
    <t>Treasury Yield (10% p.a.)</t>
  </si>
  <si>
    <t>APR Paid to LPs</t>
  </si>
  <si>
    <t>Cumulative APR Paid</t>
  </si>
  <si>
    <t>Month 01</t>
  </si>
  <si>
    <t>Month 02</t>
  </si>
  <si>
    <t>Month 03</t>
  </si>
  <si>
    <t>Month 04</t>
  </si>
  <si>
    <t>Month 05</t>
  </si>
  <si>
    <t>Month 06</t>
  </si>
  <si>
    <t>Month 07</t>
  </si>
  <si>
    <t>Month 08</t>
  </si>
  <si>
    <t>Month 09</t>
  </si>
  <si>
    <t>Month 10</t>
  </si>
  <si>
    <t>Month 11</t>
  </si>
  <si>
    <t>Month 12</t>
  </si>
  <si>
    <t>Month 13</t>
  </si>
  <si>
    <t>Month 14</t>
  </si>
  <si>
    <t>Month 15</t>
  </si>
  <si>
    <t>Month 16</t>
  </si>
  <si>
    <t>TOTAL</t>
  </si>
  <si>
    <t>SUMMARY</t>
  </si>
  <si>
    <t xml:space="preserve">   Total LP Capital Called</t>
  </si>
  <si>
    <t xml:space="preserve">   Total Deployed into Construction</t>
  </si>
  <si>
    <t xml:space="preserve">   Total APR Paid to LPs (pre-opening)</t>
  </si>
  <si>
    <t xml:space="preserve">   Average Monthly APR per LP $1 invested</t>
  </si>
  <si>
    <t>Note: Treasury yield is earned on closing (undeployed) balance each month. 16-month compressed modular schedule.</t>
  </si>
  <si>
    <t>WATERFALL ANALYSIS  |  Barbados Single Site  |  Year 5 Exit (from Opening: Q4 2027)</t>
  </si>
  <si>
    <t>Four-tier waterfall: Return of Capital &gt; Preferred Return &gt; LP/GP Split &gt; Carried Interest</t>
  </si>
  <si>
    <t>Waterfall Tier</t>
  </si>
  <si>
    <t>LP ($)</t>
  </si>
  <si>
    <t>Coruscant GP ($)</t>
  </si>
  <si>
    <t>Magnus GP ($)</t>
  </si>
  <si>
    <t>TIER 1 — RETURN OF LP CAPITAL</t>
  </si>
  <si>
    <t xml:space="preserve">   Total Exit Proceeds (net of debt)</t>
  </si>
  <si>
    <t>Gross exit less senior debt and PIK mezzanine</t>
  </si>
  <si>
    <t xml:space="preserve">   LP Capital Invested</t>
  </si>
  <si>
    <t xml:space="preserve">   GP Co-invest Capital (Coruscant)</t>
  </si>
  <si>
    <t xml:space="preserve">   Tier 1: Return of All Capital (LP + GP)</t>
  </si>
  <si>
    <t>First dollars out repay all invested capital</t>
  </si>
  <si>
    <t xml:space="preserve">   Remaining Proceeds after Tier 1</t>
  </si>
  <si>
    <t>TIER 2 — LP PREFERRED RETURN (8% p.a. on invested capital)</t>
  </si>
  <si>
    <t xml:space="preserve">   LP Preferred Return Required (8% x 5 years x capital)</t>
  </si>
  <si>
    <t>Simple preferred return. Compounded version = capital * (1.08^5) - capital</t>
  </si>
  <si>
    <t xml:space="preserve">   Less: APR Already Paid During Pre-Opening</t>
  </si>
  <si>
    <t>Treasury yield paid monthly before opening; offsets preferred return owed at exit</t>
  </si>
  <si>
    <t xml:space="preserve">   Preferred Return Still Owed at Exit</t>
  </si>
  <si>
    <t>MAX(0) prevents negative; if APR &gt; required, excess goes to Tier 3</t>
  </si>
  <si>
    <t xml:space="preserve">   Tier 2: Pay Preferred Return Shortfall to LPs</t>
  </si>
  <si>
    <t>Remaining proceeds satisfy preferred return shortfall first</t>
  </si>
  <si>
    <t xml:space="preserve">   Remaining Proceeds after Tier 2</t>
  </si>
  <si>
    <t>TIER 3 — DISTRIBUTABLE INCOME SPLIT  (70% LP / 30% GP)</t>
  </si>
  <si>
    <t xml:space="preserve">   Available for Tier 3 Distribution</t>
  </si>
  <si>
    <t xml:space="preserve">   LP Share (70% of available)</t>
  </si>
  <si>
    <t xml:space="preserve">   GP Total Carry (30% of available)</t>
  </si>
  <si>
    <t>GP carry split: 87.5% Coruscant, 12.5% Magnus (midpoint of 10-15% stated)</t>
  </si>
  <si>
    <t xml:space="preserve">   Remaining after Tier 3</t>
  </si>
  <si>
    <t>WATERFALL SUMMARY  |  Total Distributions by Party</t>
  </si>
  <si>
    <t>Party</t>
  </si>
  <si>
    <t>Total Received ($)</t>
  </si>
  <si>
    <t>Multiple on Invested</t>
  </si>
  <si>
    <t>% of Net Exit</t>
  </si>
  <si>
    <t xml:space="preserve">   LP Investors (total)</t>
  </si>
  <si>
    <t>Includes APR paid pre-opening plus exit waterfall proceeds</t>
  </si>
  <si>
    <t xml:space="preserve">   Coruscant GP (total)</t>
  </si>
  <si>
    <t>Return of co-invest + 87.5% of 30% GP carry</t>
  </si>
  <si>
    <t xml:space="preserve">   Magnus Capital (GP fee; 12.5% of carry)</t>
  </si>
  <si>
    <t>12.5% of 30% GP carry only; no capital invested</t>
  </si>
  <si>
    <t>TOTAL CHECK</t>
  </si>
  <si>
    <t>Should equal Net Equity Proceeds. APR deducted as it was pre-exit cash.</t>
  </si>
  <si>
    <t>RETURN METRICS SUMMARY</t>
  </si>
  <si>
    <t>Metric</t>
  </si>
  <si>
    <t>LP Investors</t>
  </si>
  <si>
    <t>Coruscant GP</t>
  </si>
  <si>
    <t xml:space="preserve">   Total Capital Invested</t>
  </si>
  <si>
    <t xml:space="preserve">   Total Received (incl. APR pre-opening)</t>
  </si>
  <si>
    <t xml:space="preserve">   Equity Multiple on Invested Capital</t>
  </si>
  <si>
    <t>Target: LP 4-6x, Coruscant significantly higher through carry</t>
  </si>
  <si>
    <t xml:space="preserve">   Share of Total Exit Value</t>
  </si>
  <si>
    <t xml:space="preserve">   APR Yield Received Pre-Opening (LPs only)</t>
  </si>
  <si>
    <t>N/A</t>
  </si>
  <si>
    <t>LP investors receiving monthly treasury yield from Month 1</t>
  </si>
  <si>
    <t xml:space="preserve">   Estimated Levered IRR (Year 5 exit)</t>
  </si>
  <si>
    <t>17-21%</t>
  </si>
  <si>
    <t>Higher; GP carry amplifies return on co-invest</t>
  </si>
  <si>
    <t>Verify with XIRR() once monthly cashflow timing confirmed</t>
  </si>
  <si>
    <t>SENSITIVITY  |  LP Multiple vs Exit Cap Rate  (Stabilised Year 5 NOI: $3.86M)</t>
  </si>
  <si>
    <t>Cap Rate / LP Capital</t>
  </si>
  <si>
    <t>6.5%</t>
  </si>
  <si>
    <t>7.5%</t>
  </si>
  <si>
    <t>8.5%</t>
  </si>
  <si>
    <t>9.5%</t>
  </si>
  <si>
    <t>10.5%</t>
  </si>
  <si>
    <t>LP $5M</t>
  </si>
  <si>
    <t>LP $6M</t>
  </si>
  <si>
    <t>LP $7M</t>
  </si>
  <si>
    <t>LP $8M</t>
  </si>
  <si>
    <t>LP $9M</t>
  </si>
  <si>
    <t>COLOUR LEGEND</t>
  </si>
  <si>
    <t xml:space="preserve">   Blue text</t>
  </si>
  <si>
    <t>Hardcoded input — change to run scenarios</t>
  </si>
  <si>
    <t xml:space="preserve">   Green text</t>
  </si>
  <si>
    <t>Linked from Fund Assumptions sheet</t>
  </si>
  <si>
    <t xml:space="preserve">   Black text</t>
  </si>
  <si>
    <t>Calculated formula</t>
  </si>
  <si>
    <t xml:space="preserve">   Yellow cell</t>
  </si>
  <si>
    <t>Base case / key assumption needing review</t>
  </si>
  <si>
    <t xml:space="preserve">   Orange cell</t>
  </si>
  <si>
    <t>Total or summary row</t>
  </si>
  <si>
    <t xml:space="preserve">   Dark green number</t>
  </si>
  <si>
    <t>LP multiple &gt;= 3.0x (meets typical family office threshold)</t>
  </si>
  <si>
    <t xml:space="preserve">   Red number</t>
  </si>
  <si>
    <t>LP multiple &lt; 1.0x (loss of capital)</t>
  </si>
  <si>
    <t>CONSTRUCTION DRAWDOWN SCHEDULE  |  Barbados  |  16-Month Build Programme (Aug 2026 – Nov 2027)</t>
  </si>
  <si>
    <t>Modular prefab programme. LP equity drawn progressively; undeployed balance earns treasury yield. Construction start: August 2026. Opening: Q4 2027.</t>
  </si>
  <si>
    <t>Phase 1: Design, Planning &amp; Procurement  (Months 1-4: Aug 2026 – Nov 2026)  —  $1,050,000</t>
  </si>
  <si>
    <t>Activity</t>
  </si>
  <si>
    <t>Draw (USD)</t>
  </si>
  <si>
    <t>Cumulative Draw</t>
  </si>
  <si>
    <t>LP Balance Remaining</t>
  </si>
  <si>
    <t>Treasury Yield (mo.)</t>
  </si>
  <si>
    <t>Cumulative APR</t>
  </si>
  <si>
    <t>Architect retainer + Stage 1a + geotech surveys</t>
  </si>
  <si>
    <t>Aug 2026</t>
  </si>
  <si>
    <t>EIA screening + structural/MEP concept design</t>
  </si>
  <si>
    <t>Sep 2026</t>
  </si>
  <si>
    <t>Planning application + module supplier RFI</t>
  </si>
  <si>
    <t>Oct 2026</t>
  </si>
  <si>
    <t>Procurement finalisation + module PO placed</t>
  </si>
  <si>
    <t>Nov 2026</t>
  </si>
  <si>
    <t>Phase 2: Site Prep &amp; Module Fabrication  (Months 5-8: Dec 2026 – Mar 2027)  —  $1,750,000</t>
  </si>
  <si>
    <t>Site clearance + excavation + foundation piling</t>
  </si>
  <si>
    <t>Dec 2026</t>
  </si>
  <si>
    <t>Foundation pad pour + ground beams</t>
  </si>
  <si>
    <t>Jan 2027</t>
  </si>
  <si>
    <t>Structural steel frame erection + slab</t>
  </si>
  <si>
    <t>Feb 2027</t>
  </si>
  <si>
    <t>MEP underground + module factory QA inspections</t>
  </si>
  <si>
    <t>Mar 2027</t>
  </si>
  <si>
    <t>Phase 3: Module Shipping, Install &amp; MEP  (Months 9-13: Apr 2027 – Aug 2027)  —  $2,800,000</t>
  </si>
  <si>
    <t>Module shipping (65 containers) + crane mobilisation</t>
  </si>
  <si>
    <t>Apr 2027</t>
  </si>
  <si>
    <t>Crane lift YOTEL modules Floors 1-3</t>
  </si>
  <si>
    <t>May 2027</t>
  </si>
  <si>
    <t>Crane lift YOTELPAD modules Floors 4-5</t>
  </si>
  <si>
    <t>Jun 2027</t>
  </si>
  <si>
    <t>MEP connections at module interfaces + cladding</t>
  </si>
  <si>
    <t>Jul 2027</t>
  </si>
  <si>
    <t>External weather envelope + elevator core</t>
  </si>
  <si>
    <t>Aug 2027</t>
  </si>
  <si>
    <t>Phase 4: Fit-Out, Commissioning &amp; Pre-Open  (Months 14-16: Sep 2027 – Nov 2027)  —  $1,400,000</t>
  </si>
  <si>
    <t>FF&amp;E installation + tech stack / YOTEL PMS setup</t>
  </si>
  <si>
    <t>Sep 2027</t>
  </si>
  <si>
    <t>YOTEL brand inspection + snagging + pre-opening staff</t>
  </si>
  <si>
    <t>Oct 2027</t>
  </si>
  <si>
    <t>Soft open → full brand launch Q4 2027</t>
  </si>
  <si>
    <t>Nov 2027</t>
  </si>
  <si>
    <t>DRAWDOWN SUMMARY</t>
  </si>
  <si>
    <t>Total LP Equity Deployed into Construction</t>
  </si>
  <si>
    <t>Total Treasury Yield Generated (pre-opening)</t>
  </si>
  <si>
    <t>Yield declines each month as capital is drawn from custodial account into the build. Compressed 16-month modular schedule reduces total yield vs 24-month programme.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</si>
</sst>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;&quot;($&quot;#,##0\);\-"/>
    <numFmt numFmtId="165" formatCode="0.0%;\(0.0%\);\-"/>
    <numFmt numFmtId="166" formatCode="#,##0;\(#,##0\);\-"/>
    <numFmt numFmtId="167" formatCode="0.0\x;\(0.0&quot;x)&quot;;\-"/>
    <numFmt numFmtId="168" formatCode="0.0\x"/>
    <numFmt numFmtId="169" formatCode="\$#,##0;&quot;($&quot;#,##0\)"/>
  </numFmts>
  <fonts count="23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595959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sz val="10"/>
      <color rgb="FF595959"/>
      <name val="Arial"/>
      <family val="2"/>
    </font>
    <font>
      <b/>
      <sz val="10"/>
      <name val="Arial"/>
      <family val="2"/>
    </font>
    <font>
      <sz val="10"/>
      <color rgb="FF375623"/>
      <name val="Arial"/>
      <family val="2"/>
    </font>
    <font>
      <b/>
      <sz val="9"/>
      <color rgb="FF0000FF"/>
      <name val="Arial"/>
      <family val="2"/>
    </font>
    <font>
      <b/>
      <sz val="9"/>
      <color rgb="FF008000"/>
      <name val="Arial"/>
      <family val="2"/>
    </font>
    <font>
      <b/>
      <sz val="9"/>
      <color rgb="FF000000"/>
      <name val="Arial"/>
      <family val="2"/>
    </font>
    <font>
      <b/>
      <sz val="9"/>
      <color rgb="FFFFFF00"/>
      <name val="Arial"/>
      <family val="2"/>
    </font>
    <font>
      <b/>
      <sz val="9"/>
      <color rgb="FFFCE4D6"/>
      <name val="Arial"/>
      <family val="2"/>
    </font>
    <font>
      <b/>
      <sz val="9"/>
      <color rgb="FF375623"/>
      <name val="Arial"/>
      <family val="2"/>
    </font>
    <font>
      <b/>
      <sz val="9"/>
      <color rgb="FFC00000"/>
      <name val="Arial"/>
      <family val="2"/>
    </font>
    <font>
      <b/>
      <sz val="11"/>
      <color rgb="FFFFFFFF"/>
      <name val="Arial"/>
      <family val="2"/>
    </font>
    <font>
      <sz val="9"/>
      <color rgb="FF000000"/>
      <name val="Arial"/>
      <family val="2"/>
    </font>
    <font>
      <sz val="9"/>
      <color rgb="FF0000FF"/>
      <name val="Arial"/>
      <family val="2"/>
    </font>
    <font>
      <sz val="9"/>
      <color rgb="FF37562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FCE4D6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165" fontId="4" fillId="0" borderId="0" xfId="0" applyNumberFormat="1" applyFont="1" applyAlignment="1">
      <alignment horizontal="right" vertical="center"/>
    </xf>
    <xf numFmtId="164" fontId="7" fillId="4" borderId="0" xfId="0" applyNumberFormat="1" applyFont="1" applyFill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5" fillId="5" borderId="0" xfId="0" applyNumberFormat="1" applyFont="1" applyFill="1" applyAlignment="1">
      <alignment horizontal="right" vertical="center"/>
    </xf>
    <xf numFmtId="165" fontId="5" fillId="5" borderId="0" xfId="0" applyNumberFormat="1" applyFont="1" applyFill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0" fontId="3" fillId="2" borderId="0" xfId="0" applyFont="1" applyFill="1" applyAlignment="1">
      <alignment horizontal="center" wrapText="1"/>
    </xf>
    <xf numFmtId="0" fontId="7" fillId="0" borderId="0" xfId="0" applyFont="1"/>
    <xf numFmtId="0" fontId="4" fillId="6" borderId="0" xfId="0" applyFont="1" applyFill="1"/>
    <xf numFmtId="164" fontId="4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0" fontId="4" fillId="0" borderId="0" xfId="0" applyFont="1"/>
    <xf numFmtId="0" fontId="7" fillId="6" borderId="0" xfId="0" applyFont="1" applyFill="1"/>
    <xf numFmtId="0" fontId="7" fillId="0" borderId="0" xfId="0" applyFont="1" applyAlignment="1">
      <alignment horizontal="left" vertical="center" wrapText="1"/>
    </xf>
    <xf numFmtId="164" fontId="8" fillId="0" borderId="0" xfId="0" applyNumberFormat="1" applyFont="1" applyAlignment="1">
      <alignment horizontal="right" vertical="center"/>
    </xf>
    <xf numFmtId="164" fontId="7" fillId="7" borderId="0" xfId="0" applyNumberFormat="1" applyFont="1" applyFill="1" applyAlignment="1">
      <alignment horizontal="right" vertical="center"/>
    </xf>
    <xf numFmtId="164" fontId="4" fillId="7" borderId="0" xfId="0" applyNumberFormat="1" applyFont="1" applyFill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0" fontId="3" fillId="3" borderId="0" xfId="0" applyFont="1" applyFill="1" applyAlignment="1">
      <alignment horizontal="center"/>
    </xf>
    <xf numFmtId="167" fontId="8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0" fontId="9" fillId="0" borderId="0" xfId="0" applyFont="1"/>
    <xf numFmtId="0" fontId="5" fillId="0" borderId="0" xfId="0" applyFont="1" applyAlignment="1">
      <alignment horizontal="right" vertical="center"/>
    </xf>
    <xf numFmtId="0" fontId="3" fillId="3" borderId="0" xfId="0" applyFont="1" applyFill="1"/>
    <xf numFmtId="0" fontId="10" fillId="0" borderId="0" xfId="0" applyFont="1"/>
    <xf numFmtId="168" fontId="11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168" fontId="4" fillId="5" borderId="0" xfId="0" applyNumberFormat="1" applyFont="1" applyFill="1" applyAlignment="1">
      <alignment horizontal="center"/>
    </xf>
    <xf numFmtId="0" fontId="12" fillId="0" borderId="0" xfId="0" applyFont="1"/>
    <xf numFmtId="0" fontId="6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" fillId="3" borderId="0" xfId="0" applyFont="1" applyFill="1" applyAlignment="1">
      <alignment horizontal="center" wrapText="1"/>
    </xf>
    <xf numFmtId="0" fontId="20" fillId="6" borderId="0" xfId="0" applyFont="1" applyFill="1"/>
    <xf numFmtId="169" fontId="21" fillId="6" borderId="0" xfId="0" applyNumberFormat="1" applyFont="1" applyFill="1" applyAlignment="1">
      <alignment horizontal="right"/>
    </xf>
    <xf numFmtId="169" fontId="20" fillId="6" borderId="0" xfId="0" applyNumberFormat="1" applyFont="1" applyFill="1" applyAlignment="1">
      <alignment horizontal="right"/>
    </xf>
    <xf numFmtId="169" fontId="22" fillId="6" borderId="0" xfId="0" applyNumberFormat="1" applyFont="1" applyFill="1" applyAlignment="1">
      <alignment horizontal="right"/>
    </xf>
    <xf numFmtId="0" fontId="0" fillId="6" borderId="0" xfId="0" applyFill="1"/>
    <xf numFmtId="0" fontId="20" fillId="0" borderId="0" xfId="0" applyFont="1"/>
    <xf numFmtId="169" fontId="21" fillId="0" borderId="0" xfId="0" applyNumberFormat="1" applyFont="1" applyAlignment="1">
      <alignment horizontal="right"/>
    </xf>
    <xf numFmtId="169" fontId="20" fillId="0" borderId="0" xfId="0" applyNumberFormat="1" applyFont="1" applyAlignment="1">
      <alignment horizontal="right"/>
    </xf>
    <xf numFmtId="169" fontId="22" fillId="0" borderId="0" xfId="0" applyNumberFormat="1" applyFont="1" applyAlignment="1">
      <alignment horizontal="right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3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4" fillId="0" borderId="0" xfId="0" applyFont="1"/>
    <xf numFmtId="0" fontId="20" fillId="6" borderId="0" xfId="0" applyFont="1" applyFill="1"/>
    <xf numFmtId="0" fontId="19" fillId="2" borderId="0" xfId="0" applyFont="1" applyFill="1" applyAlignment="1">
      <alignment horizontal="left" vertical="center" wrapText="1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opLeftCell="A13" zoomScaleNormal="100" workbookViewId="0">
      <selection activeCell="L16" sqref="L16"/>
    </sheetView>
  </sheetViews>
  <sheetFormatPr baseColWidth="10" defaultColWidth="8.6640625" defaultRowHeight="15" customHeight="1" x14ac:dyDescent="0.2"/>
  <cols>
    <col min="1" max="1" width="38" customWidth="1"/>
    <col min="2" max="2" width="18" customWidth="1"/>
    <col min="3" max="3" width="20" customWidth="1"/>
    <col min="4" max="4" width="28" customWidth="1"/>
  </cols>
  <sheetData>
    <row r="1" spans="1:4" ht="31.5" customHeight="1" x14ac:dyDescent="0.2">
      <c r="A1" s="57" t="s">
        <v>0</v>
      </c>
      <c r="B1" s="55"/>
      <c r="C1" s="55"/>
      <c r="D1" s="55"/>
    </row>
    <row r="2" spans="1:4" ht="19.5" customHeight="1" x14ac:dyDescent="0.2">
      <c r="A2" s="54" t="s">
        <v>1</v>
      </c>
      <c r="B2" s="55"/>
      <c r="C2" s="55"/>
      <c r="D2" s="55"/>
    </row>
    <row r="4" spans="1:4" ht="19.5" customHeight="1" x14ac:dyDescent="0.2">
      <c r="A4" s="56" t="s">
        <v>2</v>
      </c>
      <c r="B4" s="55"/>
      <c r="C4" s="55"/>
      <c r="D4" s="55"/>
    </row>
    <row r="5" spans="1:4" ht="15" customHeight="1" x14ac:dyDescent="0.2">
      <c r="A5" s="2" t="s">
        <v>3</v>
      </c>
      <c r="B5" s="2" t="s">
        <v>4</v>
      </c>
      <c r="C5" s="2" t="s">
        <v>5</v>
      </c>
      <c r="D5" s="2" t="s">
        <v>6</v>
      </c>
    </row>
    <row r="6" spans="1:4" ht="20" customHeight="1" x14ac:dyDescent="0.2">
      <c r="A6" s="3" t="s">
        <v>7</v>
      </c>
      <c r="B6" s="4">
        <v>32500000</v>
      </c>
      <c r="D6" s="5" t="s">
        <v>8</v>
      </c>
    </row>
    <row r="7" spans="1:4" ht="27" customHeight="1" x14ac:dyDescent="0.2">
      <c r="A7" s="3" t="s">
        <v>9</v>
      </c>
      <c r="B7" s="4">
        <v>20000000</v>
      </c>
      <c r="C7" s="6">
        <f>B7/B6</f>
        <v>0.61538461538461542</v>
      </c>
      <c r="D7" s="5" t="s">
        <v>10</v>
      </c>
    </row>
    <row r="8" spans="1:4" ht="28" customHeight="1" x14ac:dyDescent="0.2">
      <c r="A8" s="3" t="s">
        <v>11</v>
      </c>
      <c r="B8" s="4">
        <v>5000000</v>
      </c>
      <c r="C8" s="6">
        <f>B8/B6</f>
        <v>0.15384615384615385</v>
      </c>
      <c r="D8" s="5" t="s">
        <v>12</v>
      </c>
    </row>
    <row r="9" spans="1:4" ht="21.75" customHeight="1" x14ac:dyDescent="0.2">
      <c r="A9" s="3" t="s">
        <v>13</v>
      </c>
      <c r="B9" s="7">
        <f>B6-B7-B8</f>
        <v>7500000</v>
      </c>
      <c r="C9" s="6">
        <f>B9/B6</f>
        <v>0.23076923076923078</v>
      </c>
      <c r="D9" s="5" t="s">
        <v>14</v>
      </c>
    </row>
    <row r="10" spans="1:4" ht="21.75" customHeight="1" x14ac:dyDescent="0.2">
      <c r="A10" s="3" t="s">
        <v>15</v>
      </c>
      <c r="B10" s="4">
        <v>500000</v>
      </c>
      <c r="D10" s="5" t="s">
        <v>16</v>
      </c>
    </row>
    <row r="11" spans="1:4" ht="15" customHeight="1" x14ac:dyDescent="0.2">
      <c r="A11" s="3" t="s">
        <v>17</v>
      </c>
      <c r="B11" s="8">
        <f>B9-B10</f>
        <v>7000000</v>
      </c>
    </row>
    <row r="13" spans="1:4" ht="19.5" customHeight="1" x14ac:dyDescent="0.2">
      <c r="A13" s="56" t="s">
        <v>18</v>
      </c>
      <c r="B13" s="55"/>
      <c r="C13" s="55"/>
      <c r="D13" s="55"/>
    </row>
    <row r="14" spans="1:4" ht="15" customHeight="1" x14ac:dyDescent="0.2">
      <c r="A14" s="2" t="s">
        <v>19</v>
      </c>
      <c r="B14" s="2" t="s">
        <v>20</v>
      </c>
      <c r="C14" s="2" t="s">
        <v>21</v>
      </c>
      <c r="D14" s="2" t="s">
        <v>6</v>
      </c>
    </row>
    <row r="15" spans="1:4" ht="45" customHeight="1" x14ac:dyDescent="0.2">
      <c r="A15" s="3" t="s">
        <v>22</v>
      </c>
      <c r="B15" s="9">
        <v>7000000</v>
      </c>
      <c r="D15" s="5" t="s">
        <v>23</v>
      </c>
    </row>
    <row r="16" spans="1:4" ht="42" customHeight="1" x14ac:dyDescent="0.2">
      <c r="A16" s="3" t="s">
        <v>24</v>
      </c>
      <c r="B16" s="10">
        <v>0.1</v>
      </c>
      <c r="D16" s="5" t="s">
        <v>25</v>
      </c>
    </row>
    <row r="17" spans="1:4" ht="35" customHeight="1" x14ac:dyDescent="0.2">
      <c r="A17" s="3" t="s">
        <v>26</v>
      </c>
      <c r="B17" s="8">
        <f>B15*B16/12</f>
        <v>58333.333333333336</v>
      </c>
      <c r="D17" s="5" t="s">
        <v>27</v>
      </c>
    </row>
    <row r="18" spans="1:4" ht="55" customHeight="1" x14ac:dyDescent="0.2">
      <c r="A18" s="3" t="s">
        <v>28</v>
      </c>
      <c r="B18" s="11">
        <v>16</v>
      </c>
      <c r="D18" s="5" t="s">
        <v>29</v>
      </c>
    </row>
    <row r="19" spans="1:4" ht="37" customHeight="1" x14ac:dyDescent="0.2">
      <c r="A19" s="3" t="s">
        <v>30</v>
      </c>
      <c r="B19" s="8">
        <f>B15/B18</f>
        <v>437500</v>
      </c>
      <c r="D19" s="5" t="s">
        <v>31</v>
      </c>
    </row>
    <row r="20" spans="1:4" ht="58" customHeight="1" x14ac:dyDescent="0.2">
      <c r="A20" s="3" t="s">
        <v>32</v>
      </c>
      <c r="B20" s="7">
        <f>'Treasury Cashflow'!F21</f>
        <v>489999.9916666667</v>
      </c>
      <c r="D20" s="5" t="s">
        <v>33</v>
      </c>
    </row>
    <row r="22" spans="1:4" ht="19.5" customHeight="1" x14ac:dyDescent="0.2">
      <c r="A22" s="56" t="s">
        <v>34</v>
      </c>
      <c r="B22" s="55"/>
      <c r="C22" s="55"/>
      <c r="D22" s="55"/>
    </row>
    <row r="23" spans="1:4" ht="32" customHeight="1" x14ac:dyDescent="0.2">
      <c r="A23" s="3" t="s">
        <v>35</v>
      </c>
      <c r="B23" s="12">
        <v>0.08</v>
      </c>
      <c r="D23" s="5" t="s">
        <v>36</v>
      </c>
    </row>
    <row r="24" spans="1:4" ht="40" customHeight="1" x14ac:dyDescent="0.2">
      <c r="A24" s="3" t="s">
        <v>37</v>
      </c>
      <c r="B24" s="12">
        <v>0.7</v>
      </c>
      <c r="D24" s="5" t="s">
        <v>38</v>
      </c>
    </row>
    <row r="25" spans="1:4" ht="33" customHeight="1" x14ac:dyDescent="0.2">
      <c r="A25" s="3" t="s">
        <v>39</v>
      </c>
      <c r="B25" s="6">
        <f>1-B24</f>
        <v>0.30000000000000004</v>
      </c>
      <c r="D25" s="5" t="s">
        <v>40</v>
      </c>
    </row>
    <row r="26" spans="1:4" ht="32" customHeight="1" x14ac:dyDescent="0.2">
      <c r="A26" s="3" t="s">
        <v>41</v>
      </c>
      <c r="B26" s="10">
        <v>0.125</v>
      </c>
      <c r="D26" s="5" t="s">
        <v>42</v>
      </c>
    </row>
    <row r="27" spans="1:4" ht="20" customHeight="1" x14ac:dyDescent="0.2">
      <c r="A27" s="3" t="s">
        <v>43</v>
      </c>
      <c r="B27" s="6">
        <f>1-B26</f>
        <v>0.875</v>
      </c>
      <c r="D27" s="5" t="s">
        <v>44</v>
      </c>
    </row>
    <row r="29" spans="1:4" ht="19.5" customHeight="1" x14ac:dyDescent="0.2">
      <c r="A29" s="56" t="s">
        <v>45</v>
      </c>
      <c r="B29" s="55"/>
      <c r="C29" s="55"/>
      <c r="D29" s="55"/>
    </row>
    <row r="30" spans="1:4" ht="47" customHeight="1" x14ac:dyDescent="0.2">
      <c r="A30" s="3" t="s">
        <v>46</v>
      </c>
      <c r="B30" s="11">
        <v>5</v>
      </c>
      <c r="D30" s="5" t="s">
        <v>47</v>
      </c>
    </row>
    <row r="31" spans="1:4" ht="32.25" customHeight="1" x14ac:dyDescent="0.2">
      <c r="A31" s="3" t="s">
        <v>48</v>
      </c>
      <c r="B31" s="9">
        <v>3864055</v>
      </c>
      <c r="D31" s="5" t="s">
        <v>49</v>
      </c>
    </row>
    <row r="32" spans="1:4" ht="28" customHeight="1" x14ac:dyDescent="0.2">
      <c r="A32" s="3" t="s">
        <v>50</v>
      </c>
      <c r="B32" s="12">
        <v>8.5000000000000006E-2</v>
      </c>
      <c r="D32" s="5" t="s">
        <v>51</v>
      </c>
    </row>
    <row r="33" spans="1:4" ht="23" customHeight="1" x14ac:dyDescent="0.2">
      <c r="A33" s="3" t="s">
        <v>52</v>
      </c>
      <c r="B33" s="7">
        <f>IF(B32&lt;&gt;0,B31/B32,0)</f>
        <v>45459470.588235289</v>
      </c>
      <c r="D33" s="5" t="s">
        <v>53</v>
      </c>
    </row>
    <row r="34" spans="1:4" ht="28" customHeight="1" x14ac:dyDescent="0.2">
      <c r="A34" s="3" t="s">
        <v>54</v>
      </c>
      <c r="B34" s="4">
        <v>20000000</v>
      </c>
      <c r="D34" s="5" t="s">
        <v>55</v>
      </c>
    </row>
    <row r="35" spans="1:4" ht="32.25" customHeight="1" x14ac:dyDescent="0.2">
      <c r="A35" s="3" t="s">
        <v>56</v>
      </c>
      <c r="B35" s="8">
        <f>B8*(1.11^5)</f>
        <v>8425290.7755000032</v>
      </c>
      <c r="D35" s="5" t="s">
        <v>57</v>
      </c>
    </row>
    <row r="36" spans="1:4" ht="42" customHeight="1" x14ac:dyDescent="0.2">
      <c r="A36" s="3" t="s">
        <v>58</v>
      </c>
      <c r="B36" s="7">
        <f>B33-B34-B35</f>
        <v>17034179.812735286</v>
      </c>
      <c r="D36" s="5" t="s">
        <v>59</v>
      </c>
    </row>
  </sheetData>
  <mergeCells count="6">
    <mergeCell ref="A1:D1"/>
    <mergeCell ref="A22:D22"/>
    <mergeCell ref="A4:D4"/>
    <mergeCell ref="A29:D29"/>
    <mergeCell ref="A2:D2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zoomScaleNormal="100" workbookViewId="0">
      <selection sqref="A1:G1"/>
    </sheetView>
  </sheetViews>
  <sheetFormatPr baseColWidth="10" defaultColWidth="8.6640625" defaultRowHeight="15" customHeight="1" x14ac:dyDescent="0.2"/>
  <cols>
    <col min="1" max="1" width="35.5" customWidth="1"/>
    <col min="2" max="7" width="13" customWidth="1"/>
  </cols>
  <sheetData>
    <row r="1" spans="1:7" ht="27.75" customHeight="1" x14ac:dyDescent="0.2">
      <c r="A1" s="57" t="s">
        <v>60</v>
      </c>
      <c r="B1" s="55"/>
      <c r="C1" s="55"/>
      <c r="D1" s="55"/>
      <c r="E1" s="55"/>
      <c r="F1" s="55"/>
      <c r="G1" s="55"/>
    </row>
    <row r="2" spans="1:7" ht="18" customHeight="1" x14ac:dyDescent="0.2">
      <c r="A2" s="54" t="s">
        <v>61</v>
      </c>
      <c r="B2" s="55"/>
      <c r="C2" s="55"/>
      <c r="D2" s="55"/>
      <c r="E2" s="55"/>
      <c r="F2" s="55"/>
      <c r="G2" s="55"/>
    </row>
    <row r="4" spans="1:7" ht="36" customHeight="1" x14ac:dyDescent="0.2">
      <c r="A4" s="13" t="s">
        <v>62</v>
      </c>
      <c r="B4" s="13" t="s">
        <v>63</v>
      </c>
      <c r="C4" s="13" t="s">
        <v>64</v>
      </c>
      <c r="D4" s="13" t="s">
        <v>65</v>
      </c>
      <c r="E4" s="13" t="s">
        <v>66</v>
      </c>
      <c r="F4" s="13" t="s">
        <v>67</v>
      </c>
      <c r="G4" s="13" t="s">
        <v>68</v>
      </c>
    </row>
    <row r="5" spans="1:7" ht="15" customHeight="1" x14ac:dyDescent="0.2">
      <c r="A5" s="14" t="s">
        <v>69</v>
      </c>
      <c r="B5" s="8">
        <f>'Fund Assumptions'!B15</f>
        <v>7000000</v>
      </c>
      <c r="C5" s="4">
        <v>262500</v>
      </c>
      <c r="D5" s="8">
        <f t="shared" ref="D5:D20" si="0">B5-C5</f>
        <v>6737500</v>
      </c>
      <c r="E5" s="8">
        <f>D5*'Fund Assumptions'!B16/12</f>
        <v>56145.833333333336</v>
      </c>
      <c r="F5" s="8">
        <f>E5</f>
        <v>56145.833333333336</v>
      </c>
      <c r="G5" s="8">
        <f>F5</f>
        <v>56145.833333333336</v>
      </c>
    </row>
    <row r="6" spans="1:7" ht="15" customHeight="1" x14ac:dyDescent="0.2">
      <c r="A6" s="15" t="s">
        <v>70</v>
      </c>
      <c r="B6" s="16">
        <f t="shared" ref="B6:B20" si="1">D5</f>
        <v>6737500</v>
      </c>
      <c r="C6" s="17">
        <v>262500</v>
      </c>
      <c r="D6" s="16">
        <f t="shared" si="0"/>
        <v>6475000</v>
      </c>
      <c r="E6" s="16">
        <f>D6*'Fund Assumptions'!B16/12</f>
        <v>53958.333333333336</v>
      </c>
      <c r="F6" s="16">
        <f t="shared" ref="F6:F20" si="2">E6</f>
        <v>53958.333333333336</v>
      </c>
      <c r="G6" s="16">
        <f t="shared" ref="G6:G20" si="3">G5+F6</f>
        <v>110104.16666666667</v>
      </c>
    </row>
    <row r="7" spans="1:7" ht="15" customHeight="1" x14ac:dyDescent="0.2">
      <c r="A7" s="18" t="s">
        <v>71</v>
      </c>
      <c r="B7" s="8">
        <f t="shared" si="1"/>
        <v>6475000</v>
      </c>
      <c r="C7" s="4">
        <v>262500</v>
      </c>
      <c r="D7" s="8">
        <f t="shared" si="0"/>
        <v>6212500</v>
      </c>
      <c r="E7" s="8">
        <f>D7*'Fund Assumptions'!B16/12</f>
        <v>51770.833333333336</v>
      </c>
      <c r="F7" s="8">
        <f t="shared" si="2"/>
        <v>51770.833333333336</v>
      </c>
      <c r="G7" s="8">
        <f t="shared" si="3"/>
        <v>161875</v>
      </c>
    </row>
    <row r="8" spans="1:7" ht="15" customHeight="1" x14ac:dyDescent="0.2">
      <c r="A8" s="15" t="s">
        <v>72</v>
      </c>
      <c r="B8" s="16">
        <f t="shared" si="1"/>
        <v>6212500</v>
      </c>
      <c r="C8" s="17">
        <v>262500</v>
      </c>
      <c r="D8" s="16">
        <f t="shared" si="0"/>
        <v>5950000</v>
      </c>
      <c r="E8" s="16">
        <f>D8*'Fund Assumptions'!B16/12</f>
        <v>49583.333333333336</v>
      </c>
      <c r="F8" s="16">
        <f t="shared" si="2"/>
        <v>49583.333333333336</v>
      </c>
      <c r="G8" s="16">
        <f t="shared" si="3"/>
        <v>211458.33333333334</v>
      </c>
    </row>
    <row r="9" spans="1:7" ht="15" customHeight="1" x14ac:dyDescent="0.2">
      <c r="A9" s="18" t="s">
        <v>73</v>
      </c>
      <c r="B9" s="8">
        <f t="shared" si="1"/>
        <v>5950000</v>
      </c>
      <c r="C9" s="4">
        <v>437500</v>
      </c>
      <c r="D9" s="8">
        <f t="shared" si="0"/>
        <v>5512500</v>
      </c>
      <c r="E9" s="8">
        <f>D9*'Fund Assumptions'!B16/12</f>
        <v>45937.5</v>
      </c>
      <c r="F9" s="8">
        <f t="shared" si="2"/>
        <v>45937.5</v>
      </c>
      <c r="G9" s="8">
        <f t="shared" si="3"/>
        <v>257395.83333333334</v>
      </c>
    </row>
    <row r="10" spans="1:7" ht="15" customHeight="1" x14ac:dyDescent="0.2">
      <c r="A10" s="19" t="s">
        <v>74</v>
      </c>
      <c r="B10" s="16">
        <f t="shared" si="1"/>
        <v>5512500</v>
      </c>
      <c r="C10" s="17">
        <v>437500</v>
      </c>
      <c r="D10" s="16">
        <f t="shared" si="0"/>
        <v>5075000</v>
      </c>
      <c r="E10" s="16">
        <f>D10*'Fund Assumptions'!B16/12</f>
        <v>42291.666666666664</v>
      </c>
      <c r="F10" s="16">
        <f t="shared" si="2"/>
        <v>42291.666666666664</v>
      </c>
      <c r="G10" s="16">
        <f t="shared" si="3"/>
        <v>299687.5</v>
      </c>
    </row>
    <row r="11" spans="1:7" ht="15" customHeight="1" x14ac:dyDescent="0.2">
      <c r="A11" s="18" t="s">
        <v>75</v>
      </c>
      <c r="B11" s="8">
        <f t="shared" si="1"/>
        <v>5075000</v>
      </c>
      <c r="C11" s="4">
        <v>437500</v>
      </c>
      <c r="D11" s="8">
        <f t="shared" si="0"/>
        <v>4637500</v>
      </c>
      <c r="E11" s="8">
        <f>D11*'Fund Assumptions'!B16/12</f>
        <v>38645.833333333336</v>
      </c>
      <c r="F11" s="8">
        <f t="shared" si="2"/>
        <v>38645.833333333336</v>
      </c>
      <c r="G11" s="8">
        <f t="shared" si="3"/>
        <v>338333.33333333331</v>
      </c>
    </row>
    <row r="12" spans="1:7" ht="15" customHeight="1" x14ac:dyDescent="0.2">
      <c r="A12" s="15" t="s">
        <v>76</v>
      </c>
      <c r="B12" s="16">
        <f t="shared" si="1"/>
        <v>4637500</v>
      </c>
      <c r="C12" s="17">
        <v>437500</v>
      </c>
      <c r="D12" s="16">
        <f t="shared" si="0"/>
        <v>4200000</v>
      </c>
      <c r="E12" s="16">
        <f>D12*'Fund Assumptions'!B16/12</f>
        <v>35000</v>
      </c>
      <c r="F12" s="16">
        <f t="shared" si="2"/>
        <v>35000</v>
      </c>
      <c r="G12" s="16">
        <f t="shared" si="3"/>
        <v>373333.33333333331</v>
      </c>
    </row>
    <row r="13" spans="1:7" ht="15" customHeight="1" x14ac:dyDescent="0.2">
      <c r="A13" s="18" t="s">
        <v>77</v>
      </c>
      <c r="B13" s="8">
        <f t="shared" si="1"/>
        <v>4200000</v>
      </c>
      <c r="C13" s="4">
        <v>560000</v>
      </c>
      <c r="D13" s="8">
        <f t="shared" si="0"/>
        <v>3640000</v>
      </c>
      <c r="E13" s="8">
        <f>D13*'Fund Assumptions'!B16/12</f>
        <v>30333.333333333332</v>
      </c>
      <c r="F13" s="8">
        <f t="shared" si="2"/>
        <v>30333.333333333332</v>
      </c>
      <c r="G13" s="8">
        <f t="shared" si="3"/>
        <v>403666.66666666663</v>
      </c>
    </row>
    <row r="14" spans="1:7" ht="15" customHeight="1" x14ac:dyDescent="0.2">
      <c r="A14" s="15" t="s">
        <v>78</v>
      </c>
      <c r="B14" s="16">
        <f t="shared" si="1"/>
        <v>3640000</v>
      </c>
      <c r="C14" s="17">
        <v>560000</v>
      </c>
      <c r="D14" s="16">
        <f t="shared" si="0"/>
        <v>3080000</v>
      </c>
      <c r="E14" s="16">
        <f>D14*'Fund Assumptions'!B16/12</f>
        <v>25666.666666666668</v>
      </c>
      <c r="F14" s="16">
        <f t="shared" si="2"/>
        <v>25666.666666666668</v>
      </c>
      <c r="G14" s="16">
        <f t="shared" si="3"/>
        <v>429333.33333333331</v>
      </c>
    </row>
    <row r="15" spans="1:7" ht="15" customHeight="1" x14ac:dyDescent="0.2">
      <c r="A15" s="18" t="s">
        <v>79</v>
      </c>
      <c r="B15" s="8">
        <f t="shared" si="1"/>
        <v>3080000</v>
      </c>
      <c r="C15" s="4">
        <v>560000</v>
      </c>
      <c r="D15" s="8">
        <f t="shared" si="0"/>
        <v>2520000</v>
      </c>
      <c r="E15" s="8">
        <f>D15*'Fund Assumptions'!B16/12</f>
        <v>21000</v>
      </c>
      <c r="F15" s="8">
        <f t="shared" si="2"/>
        <v>21000</v>
      </c>
      <c r="G15" s="8">
        <f t="shared" si="3"/>
        <v>450333.33333333331</v>
      </c>
    </row>
    <row r="16" spans="1:7" ht="15" customHeight="1" x14ac:dyDescent="0.2">
      <c r="A16" s="19" t="s">
        <v>80</v>
      </c>
      <c r="B16" s="16">
        <f t="shared" si="1"/>
        <v>2520000</v>
      </c>
      <c r="C16" s="17">
        <v>560000</v>
      </c>
      <c r="D16" s="16">
        <f t="shared" si="0"/>
        <v>1960000</v>
      </c>
      <c r="E16" s="16">
        <f>D16*'Fund Assumptions'!B16/12</f>
        <v>16333.333333333334</v>
      </c>
      <c r="F16" s="16">
        <f t="shared" si="2"/>
        <v>16333.333333333334</v>
      </c>
      <c r="G16" s="16">
        <f t="shared" si="3"/>
        <v>466666.66666666663</v>
      </c>
    </row>
    <row r="17" spans="1:7" ht="15" customHeight="1" x14ac:dyDescent="0.2">
      <c r="A17" s="18" t="s">
        <v>81</v>
      </c>
      <c r="B17" s="8">
        <f t="shared" si="1"/>
        <v>1960000</v>
      </c>
      <c r="C17" s="4">
        <v>560000</v>
      </c>
      <c r="D17" s="8">
        <f t="shared" si="0"/>
        <v>1400000</v>
      </c>
      <c r="E17" s="8">
        <f>D17*'Fund Assumptions'!B16/12</f>
        <v>11666.666666666666</v>
      </c>
      <c r="F17" s="8">
        <f t="shared" si="2"/>
        <v>11666.666666666666</v>
      </c>
      <c r="G17" s="8">
        <f t="shared" si="3"/>
        <v>478333.33333333331</v>
      </c>
    </row>
    <row r="18" spans="1:7" ht="15" customHeight="1" x14ac:dyDescent="0.2">
      <c r="A18" s="15" t="s">
        <v>82</v>
      </c>
      <c r="B18" s="16">
        <f t="shared" si="1"/>
        <v>1400000</v>
      </c>
      <c r="C18" s="17">
        <v>466667</v>
      </c>
      <c r="D18" s="16">
        <f t="shared" si="0"/>
        <v>933333</v>
      </c>
      <c r="E18" s="16">
        <f>D18*'Fund Assumptions'!B16/12</f>
        <v>7777.7750000000005</v>
      </c>
      <c r="F18" s="16">
        <f t="shared" si="2"/>
        <v>7777.7750000000005</v>
      </c>
      <c r="G18" s="16">
        <f t="shared" si="3"/>
        <v>486111.10833333334</v>
      </c>
    </row>
    <row r="19" spans="1:7" ht="15" customHeight="1" x14ac:dyDescent="0.2">
      <c r="A19" s="18" t="s">
        <v>83</v>
      </c>
      <c r="B19" s="8">
        <f t="shared" si="1"/>
        <v>933333</v>
      </c>
      <c r="C19" s="4">
        <v>466667</v>
      </c>
      <c r="D19" s="8">
        <f t="shared" si="0"/>
        <v>466666</v>
      </c>
      <c r="E19" s="8">
        <f>D19*'Fund Assumptions'!B16/12</f>
        <v>3888.8833333333337</v>
      </c>
      <c r="F19" s="8">
        <f t="shared" si="2"/>
        <v>3888.8833333333337</v>
      </c>
      <c r="G19" s="8">
        <f t="shared" si="3"/>
        <v>489999.9916666667</v>
      </c>
    </row>
    <row r="20" spans="1:7" ht="15" customHeight="1" x14ac:dyDescent="0.2">
      <c r="A20" s="15" t="s">
        <v>84</v>
      </c>
      <c r="B20" s="16">
        <f t="shared" si="1"/>
        <v>466666</v>
      </c>
      <c r="C20" s="17">
        <v>466666</v>
      </c>
      <c r="D20" s="16">
        <f t="shared" si="0"/>
        <v>0</v>
      </c>
      <c r="E20" s="16">
        <f>D20*'Fund Assumptions'!B16/12</f>
        <v>0</v>
      </c>
      <c r="F20" s="16">
        <f t="shared" si="2"/>
        <v>0</v>
      </c>
      <c r="G20" s="16">
        <f t="shared" si="3"/>
        <v>489999.9916666667</v>
      </c>
    </row>
    <row r="21" spans="1:7" ht="15" customHeight="1" x14ac:dyDescent="0.2">
      <c r="A21" s="18" t="s">
        <v>85</v>
      </c>
      <c r="B21" s="8"/>
      <c r="C21" s="4">
        <f>SUM(C5:C20)</f>
        <v>7000000</v>
      </c>
      <c r="D21" s="8"/>
      <c r="E21" s="8">
        <f>SUM(E5:E20)</f>
        <v>489999.9916666667</v>
      </c>
      <c r="F21" s="8">
        <f>SUM(F5:F20)</f>
        <v>489999.9916666667</v>
      </c>
      <c r="G21" s="8">
        <f>G20</f>
        <v>489999.9916666667</v>
      </c>
    </row>
    <row r="22" spans="1:7" ht="15" customHeight="1" x14ac:dyDescent="0.2">
      <c r="A22" s="19"/>
      <c r="B22" s="16"/>
      <c r="C22" s="17"/>
      <c r="D22" s="16"/>
      <c r="E22" s="16"/>
      <c r="F22" s="16"/>
      <c r="G22" s="16"/>
    </row>
    <row r="23" spans="1:7" ht="15" customHeight="1" x14ac:dyDescent="0.2">
      <c r="A23" s="58" t="s">
        <v>86</v>
      </c>
      <c r="B23" s="55"/>
      <c r="C23" s="55"/>
      <c r="D23" s="55"/>
      <c r="E23" s="55"/>
      <c r="F23" s="55"/>
      <c r="G23" s="55"/>
    </row>
    <row r="24" spans="1:7" ht="15" customHeight="1" x14ac:dyDescent="0.2">
      <c r="A24" s="15" t="s">
        <v>87</v>
      </c>
      <c r="B24" s="16">
        <f>'Fund Assumptions'!B15</f>
        <v>7000000</v>
      </c>
      <c r="C24" s="17"/>
      <c r="D24" s="16"/>
      <c r="E24" s="16"/>
      <c r="F24" s="16"/>
      <c r="G24" s="16"/>
    </row>
    <row r="25" spans="1:7" ht="15" customHeight="1" x14ac:dyDescent="0.2">
      <c r="A25" s="18" t="s">
        <v>88</v>
      </c>
      <c r="B25" s="8">
        <f>C21</f>
        <v>7000000</v>
      </c>
      <c r="C25" s="4"/>
      <c r="D25" s="8"/>
      <c r="E25" s="8"/>
      <c r="F25" s="8"/>
      <c r="G25" s="8"/>
    </row>
    <row r="26" spans="1:7" ht="15" customHeight="1" x14ac:dyDescent="0.2">
      <c r="A26" s="15" t="s">
        <v>89</v>
      </c>
      <c r="B26" s="16">
        <f>F21</f>
        <v>489999.9916666667</v>
      </c>
      <c r="C26" s="17"/>
      <c r="D26" s="16"/>
      <c r="E26" s="16"/>
      <c r="F26" s="16"/>
      <c r="G26" s="16"/>
    </row>
    <row r="27" spans="1:7" ht="15" customHeight="1" x14ac:dyDescent="0.2">
      <c r="A27" s="18" t="s">
        <v>90</v>
      </c>
      <c r="B27" s="8">
        <f>IF('Fund Assumptions'!B15&lt;&gt;0,('Fund Assumptions'!B16/12),0)</f>
        <v>8.3333333333333332E-3</v>
      </c>
      <c r="C27" s="4"/>
      <c r="D27" s="8"/>
      <c r="E27" s="8"/>
      <c r="F27" s="8"/>
      <c r="G27" s="8"/>
    </row>
    <row r="28" spans="1:7" ht="15" customHeight="1" x14ac:dyDescent="0.2">
      <c r="A28" s="19" t="s">
        <v>91</v>
      </c>
      <c r="B28" s="16"/>
      <c r="C28" s="17"/>
      <c r="D28" s="16"/>
      <c r="E28" s="16"/>
      <c r="F28" s="16"/>
      <c r="G28" s="16"/>
    </row>
    <row r="29" spans="1:7" ht="15" customHeight="1" x14ac:dyDescent="0.2">
      <c r="A29" s="20"/>
      <c r="C29" s="7"/>
      <c r="E29" s="7"/>
      <c r="F29" s="7"/>
      <c r="G29" s="7"/>
    </row>
    <row r="31" spans="1:7" ht="15" customHeight="1" x14ac:dyDescent="0.2">
      <c r="A31" s="1"/>
    </row>
    <row r="32" spans="1:7" ht="15" customHeight="1" x14ac:dyDescent="0.2">
      <c r="A32" s="3"/>
      <c r="B32" s="21"/>
    </row>
    <row r="33" spans="1:2" ht="15" customHeight="1" x14ac:dyDescent="0.2">
      <c r="A33" s="3"/>
      <c r="B33" s="8"/>
    </row>
    <row r="34" spans="1:2" ht="23.25" customHeight="1" x14ac:dyDescent="0.2">
      <c r="A34" s="3"/>
      <c r="B34" s="7"/>
    </row>
    <row r="35" spans="1:2" ht="23.25" customHeight="1" x14ac:dyDescent="0.2">
      <c r="A35" s="3"/>
      <c r="B35" s="6"/>
    </row>
    <row r="36" spans="1:2" ht="74.25" customHeight="1" x14ac:dyDescent="0.2">
      <c r="A36" s="5"/>
    </row>
  </sheetData>
  <mergeCells count="3">
    <mergeCell ref="A2:G2"/>
    <mergeCell ref="A1:G1"/>
    <mergeCell ref="A23:G2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7"/>
  <sheetViews>
    <sheetView tabSelected="1" topLeftCell="C1" zoomScaleNormal="100" workbookViewId="0">
      <selection activeCell="P12" sqref="P12"/>
    </sheetView>
  </sheetViews>
  <sheetFormatPr baseColWidth="10" defaultColWidth="8.6640625" defaultRowHeight="15" customHeight="1" x14ac:dyDescent="0.2"/>
  <cols>
    <col min="1" max="1" width="54.1640625" customWidth="1"/>
    <col min="2" max="2" width="16" customWidth="1"/>
    <col min="3" max="3" width="36.33203125" customWidth="1"/>
    <col min="4" max="4" width="16.83203125" customWidth="1"/>
    <col min="5" max="5" width="31.5" customWidth="1"/>
  </cols>
  <sheetData>
    <row r="1" spans="1:5" ht="27.75" customHeight="1" x14ac:dyDescent="0.2">
      <c r="A1" s="57" t="s">
        <v>92</v>
      </c>
      <c r="B1" s="55"/>
      <c r="C1" s="55"/>
      <c r="D1" s="55"/>
      <c r="E1" s="55"/>
    </row>
    <row r="2" spans="1:5" ht="18" customHeight="1" x14ac:dyDescent="0.2">
      <c r="A2" s="54" t="s">
        <v>93</v>
      </c>
      <c r="B2" s="55"/>
      <c r="C2" s="55"/>
      <c r="D2" s="55"/>
      <c r="E2" s="55"/>
    </row>
    <row r="4" spans="1:5" ht="27.75" customHeight="1" x14ac:dyDescent="0.2">
      <c r="A4" s="13" t="s">
        <v>94</v>
      </c>
      <c r="B4" s="13" t="s">
        <v>95</v>
      </c>
      <c r="C4" s="13" t="s">
        <v>96</v>
      </c>
      <c r="D4" s="13" t="s">
        <v>97</v>
      </c>
      <c r="E4" s="13" t="s">
        <v>6</v>
      </c>
    </row>
    <row r="5" spans="1:5" ht="19.5" customHeight="1" x14ac:dyDescent="0.2">
      <c r="A5" s="56" t="s">
        <v>98</v>
      </c>
      <c r="B5" s="55"/>
      <c r="C5" s="55"/>
      <c r="D5" s="55"/>
      <c r="E5" s="55"/>
    </row>
    <row r="6" spans="1:5" ht="28" customHeight="1" x14ac:dyDescent="0.2">
      <c r="A6" s="3" t="s">
        <v>99</v>
      </c>
      <c r="B6" s="21">
        <f>'Fund Assumptions'!B36</f>
        <v>17034179.812735286</v>
      </c>
      <c r="E6" s="5" t="s">
        <v>100</v>
      </c>
    </row>
    <row r="7" spans="1:5" ht="15" customHeight="1" x14ac:dyDescent="0.2">
      <c r="A7" s="3" t="s">
        <v>101</v>
      </c>
      <c r="B7" s="21">
        <f>'Fund Assumptions'!B11</f>
        <v>7000000</v>
      </c>
    </row>
    <row r="8" spans="1:5" ht="15" customHeight="1" x14ac:dyDescent="0.2">
      <c r="A8" s="3" t="s">
        <v>102</v>
      </c>
      <c r="C8" s="21">
        <f>'Fund Assumptions'!B10</f>
        <v>500000</v>
      </c>
    </row>
    <row r="9" spans="1:5" ht="35" customHeight="1" x14ac:dyDescent="0.2">
      <c r="A9" s="20" t="s">
        <v>103</v>
      </c>
      <c r="B9" s="22">
        <f>B7</f>
        <v>7000000</v>
      </c>
      <c r="C9" s="22">
        <f>C8</f>
        <v>500000</v>
      </c>
      <c r="D9" s="23">
        <v>0</v>
      </c>
      <c r="E9" s="5" t="s">
        <v>104</v>
      </c>
    </row>
    <row r="10" spans="1:5" ht="15" customHeight="1" x14ac:dyDescent="0.2">
      <c r="A10" s="3" t="s">
        <v>105</v>
      </c>
      <c r="B10" s="8">
        <f>B6-B9-C9</f>
        <v>9534179.8127352856</v>
      </c>
    </row>
    <row r="12" spans="1:5" ht="19.5" customHeight="1" x14ac:dyDescent="0.2">
      <c r="A12" s="1" t="s">
        <v>106</v>
      </c>
    </row>
    <row r="13" spans="1:5" ht="39" customHeight="1" x14ac:dyDescent="0.2">
      <c r="A13" s="3" t="s">
        <v>107</v>
      </c>
      <c r="B13" s="8">
        <f>B7*'Fund Assumptions'!B23*'Fund Assumptions'!B30</f>
        <v>2800000</v>
      </c>
      <c r="E13" s="5" t="s">
        <v>108</v>
      </c>
    </row>
    <row r="14" spans="1:5" ht="49" customHeight="1" x14ac:dyDescent="0.2">
      <c r="A14" s="3" t="s">
        <v>109</v>
      </c>
      <c r="B14" s="21">
        <f>'Fund Assumptions'!B20</f>
        <v>489999.9916666667</v>
      </c>
      <c r="E14" s="5" t="s">
        <v>110</v>
      </c>
    </row>
    <row r="15" spans="1:5" ht="39" customHeight="1" x14ac:dyDescent="0.2">
      <c r="A15" s="20" t="s">
        <v>111</v>
      </c>
      <c r="B15" s="7">
        <f>MAX(0,B13-B14)</f>
        <v>2310000.0083333333</v>
      </c>
      <c r="E15" s="5" t="s">
        <v>112</v>
      </c>
    </row>
    <row r="16" spans="1:5" ht="44" customHeight="1" x14ac:dyDescent="0.2">
      <c r="A16" s="20" t="s">
        <v>113</v>
      </c>
      <c r="B16" s="22">
        <f>MIN(B10,B15)</f>
        <v>2310000.0083333333</v>
      </c>
      <c r="C16" s="23">
        <v>0</v>
      </c>
      <c r="D16" s="23">
        <v>0</v>
      </c>
      <c r="E16" s="5" t="s">
        <v>114</v>
      </c>
    </row>
    <row r="17" spans="1:5" ht="38" customHeight="1" x14ac:dyDescent="0.2">
      <c r="A17" s="3" t="s">
        <v>115</v>
      </c>
      <c r="B17" s="8">
        <f>B10-B16</f>
        <v>7224179.8044019528</v>
      </c>
    </row>
    <row r="19" spans="1:5" ht="19.5" customHeight="1" x14ac:dyDescent="0.2">
      <c r="A19" s="1" t="s">
        <v>116</v>
      </c>
    </row>
    <row r="20" spans="1:5" ht="15" customHeight="1" x14ac:dyDescent="0.2">
      <c r="A20" s="3" t="s">
        <v>117</v>
      </c>
      <c r="B20" s="8">
        <f>B17</f>
        <v>7224179.8044019528</v>
      </c>
    </row>
    <row r="21" spans="1:5" ht="15" customHeight="1" x14ac:dyDescent="0.2">
      <c r="A21" s="20" t="s">
        <v>118</v>
      </c>
      <c r="B21" s="22">
        <f>B20*'Fund Assumptions'!B24</f>
        <v>5056925.8630813668</v>
      </c>
      <c r="C21" s="23">
        <v>0</v>
      </c>
      <c r="D21" s="23">
        <v>0</v>
      </c>
    </row>
    <row r="22" spans="1:5" ht="39" customHeight="1" x14ac:dyDescent="0.2">
      <c r="A22" s="20" t="s">
        <v>119</v>
      </c>
      <c r="B22" s="23">
        <v>0</v>
      </c>
      <c r="C22" s="22">
        <f>B20*(1-'Fund Assumptions'!B24)*'Fund Assumptions'!B27</f>
        <v>1896347.1986555126</v>
      </c>
      <c r="D22" s="22">
        <f>B20*(1-'Fund Assumptions'!B24)*'Fund Assumptions'!B26</f>
        <v>270906.74266507325</v>
      </c>
      <c r="E22" s="5" t="s">
        <v>120</v>
      </c>
    </row>
    <row r="23" spans="1:5" ht="15" customHeight="1" x14ac:dyDescent="0.2">
      <c r="A23" s="3" t="s">
        <v>121</v>
      </c>
      <c r="B23" s="8">
        <f>B20-B21-B22-C22</f>
        <v>270906.74266507337</v>
      </c>
    </row>
    <row r="25" spans="1:5" ht="19.5" customHeight="1" x14ac:dyDescent="0.2">
      <c r="A25" s="56" t="s">
        <v>122</v>
      </c>
      <c r="B25" s="55"/>
      <c r="C25" s="55"/>
      <c r="D25" s="55"/>
      <c r="E25" s="55"/>
    </row>
    <row r="26" spans="1:5" ht="27.75" customHeight="1" x14ac:dyDescent="0.2">
      <c r="A26" s="13" t="s">
        <v>123</v>
      </c>
      <c r="B26" s="13" t="s">
        <v>124</v>
      </c>
      <c r="C26" s="13" t="s">
        <v>125</v>
      </c>
      <c r="D26" s="13" t="s">
        <v>126</v>
      </c>
      <c r="E26" s="13" t="s">
        <v>6</v>
      </c>
    </row>
    <row r="27" spans="1:5" ht="45" customHeight="1" x14ac:dyDescent="0.2">
      <c r="A27" s="20" t="s">
        <v>127</v>
      </c>
      <c r="B27" s="7">
        <f>B9+B16+B21+B14</f>
        <v>14856925.863081366</v>
      </c>
      <c r="C27" s="24">
        <f>IF(B7&lt;&gt;0,B27/B7,0)</f>
        <v>2.1224179804401953</v>
      </c>
      <c r="D27" s="6">
        <f>IF(B6&lt;&gt;0,B27/B6,0)</f>
        <v>0.87218322375426982</v>
      </c>
      <c r="E27" s="5" t="s">
        <v>128</v>
      </c>
    </row>
    <row r="28" spans="1:5" ht="32" customHeight="1" x14ac:dyDescent="0.2">
      <c r="A28" s="20" t="s">
        <v>129</v>
      </c>
      <c r="B28" s="7">
        <f>C9+C22</f>
        <v>2396347.1986555126</v>
      </c>
      <c r="C28" s="24">
        <f>IF('Fund Assumptions'!B10&lt;&gt;0,B28/'Fund Assumptions'!B10,0)</f>
        <v>4.792694397311025</v>
      </c>
      <c r="D28" s="6">
        <f>IF(B6&lt;&gt;0,B28/B6,0)</f>
        <v>0.14067875442197272</v>
      </c>
      <c r="E28" s="5" t="s">
        <v>130</v>
      </c>
    </row>
    <row r="29" spans="1:5" ht="37" customHeight="1" x14ac:dyDescent="0.2">
      <c r="A29" s="20" t="s">
        <v>131</v>
      </c>
      <c r="B29" s="7">
        <f>D22</f>
        <v>270906.74266507325</v>
      </c>
      <c r="C29" s="25">
        <v>0</v>
      </c>
      <c r="D29" s="6">
        <f>IF(B6&lt;&gt;0,B29/B6,0)</f>
        <v>1.5903715097719873E-2</v>
      </c>
      <c r="E29" s="5" t="s">
        <v>132</v>
      </c>
    </row>
    <row r="30" spans="1:5" ht="41" customHeight="1" x14ac:dyDescent="0.2">
      <c r="A30" s="20" t="s">
        <v>133</v>
      </c>
      <c r="B30" s="7">
        <f>B27+B28+B29-B14</f>
        <v>17034179.812735286</v>
      </c>
      <c r="E30" s="5" t="s">
        <v>134</v>
      </c>
    </row>
    <row r="32" spans="1:5" ht="19.5" customHeight="1" x14ac:dyDescent="0.2">
      <c r="A32" s="56" t="s">
        <v>135</v>
      </c>
      <c r="B32" s="55"/>
      <c r="C32" s="55"/>
      <c r="D32" s="55"/>
      <c r="E32" s="55"/>
    </row>
    <row r="33" spans="1:6" ht="15" customHeight="1" x14ac:dyDescent="0.2">
      <c r="A33" s="26" t="s">
        <v>136</v>
      </c>
      <c r="B33" s="26" t="s">
        <v>137</v>
      </c>
      <c r="C33" s="26" t="s">
        <v>138</v>
      </c>
      <c r="D33" s="26" t="s">
        <v>6</v>
      </c>
    </row>
    <row r="34" spans="1:6" ht="15" customHeight="1" x14ac:dyDescent="0.2">
      <c r="A34" s="3" t="s">
        <v>139</v>
      </c>
      <c r="B34" s="21">
        <f>'Fund Assumptions'!B11</f>
        <v>7000000</v>
      </c>
      <c r="C34" s="21">
        <f>'Fund Assumptions'!B10</f>
        <v>500000</v>
      </c>
    </row>
    <row r="35" spans="1:6" ht="15" customHeight="1" x14ac:dyDescent="0.2">
      <c r="A35" s="3" t="s">
        <v>140</v>
      </c>
      <c r="B35" s="21">
        <f>B27</f>
        <v>14856925.863081366</v>
      </c>
      <c r="C35" s="21">
        <f>B28</f>
        <v>2396347.1986555126</v>
      </c>
    </row>
    <row r="36" spans="1:6" ht="62" customHeight="1" x14ac:dyDescent="0.2">
      <c r="A36" s="20" t="s">
        <v>141</v>
      </c>
      <c r="B36" s="27">
        <f>C27</f>
        <v>2.1224179804401953</v>
      </c>
      <c r="C36" s="27">
        <f>C28</f>
        <v>4.792694397311025</v>
      </c>
      <c r="D36" s="5" t="s">
        <v>142</v>
      </c>
    </row>
    <row r="37" spans="1:6" ht="21" customHeight="1" x14ac:dyDescent="0.2">
      <c r="A37" s="3" t="s">
        <v>143</v>
      </c>
      <c r="B37" s="28">
        <f>D27</f>
        <v>0.87218322375426982</v>
      </c>
      <c r="C37" s="28">
        <f>D28</f>
        <v>0.14067875442197272</v>
      </c>
    </row>
    <row r="38" spans="1:6" ht="59" customHeight="1" x14ac:dyDescent="0.2">
      <c r="A38" s="3" t="s">
        <v>144</v>
      </c>
      <c r="B38" s="21">
        <f>B14</f>
        <v>489999.9916666667</v>
      </c>
      <c r="C38" s="29" t="s">
        <v>145</v>
      </c>
      <c r="D38" s="5" t="s">
        <v>146</v>
      </c>
    </row>
    <row r="39" spans="1:6" ht="51" customHeight="1" x14ac:dyDescent="0.2">
      <c r="A39" s="20" t="s">
        <v>147</v>
      </c>
      <c r="B39" s="30" t="s">
        <v>148</v>
      </c>
      <c r="C39" s="29" t="s">
        <v>149</v>
      </c>
      <c r="D39" s="5" t="s">
        <v>150</v>
      </c>
    </row>
    <row r="41" spans="1:6" ht="19.5" customHeight="1" x14ac:dyDescent="0.2">
      <c r="A41" s="56" t="s">
        <v>151</v>
      </c>
      <c r="B41" s="55"/>
      <c r="C41" s="55"/>
      <c r="D41" s="55"/>
      <c r="E41" s="55"/>
    </row>
    <row r="42" spans="1:6" ht="15" customHeight="1" x14ac:dyDescent="0.2">
      <c r="A42" s="31" t="s">
        <v>152</v>
      </c>
      <c r="B42" s="26" t="s">
        <v>153</v>
      </c>
      <c r="C42" s="26" t="s">
        <v>154</v>
      </c>
      <c r="D42" s="26" t="s">
        <v>155</v>
      </c>
      <c r="E42" s="26" t="s">
        <v>156</v>
      </c>
      <c r="F42" s="26" t="s">
        <v>157</v>
      </c>
    </row>
    <row r="43" spans="1:6" ht="15" customHeight="1" x14ac:dyDescent="0.2">
      <c r="A43" s="32" t="s">
        <v>158</v>
      </c>
      <c r="B43" s="33">
        <v>4.87</v>
      </c>
      <c r="C43" s="33">
        <v>3.76</v>
      </c>
      <c r="D43" s="34">
        <v>2.91</v>
      </c>
      <c r="E43" s="34">
        <v>2.2400000000000002</v>
      </c>
      <c r="F43" s="34">
        <v>1.7</v>
      </c>
    </row>
    <row r="44" spans="1:6" ht="15" customHeight="1" x14ac:dyDescent="0.2">
      <c r="A44" s="32" t="s">
        <v>159</v>
      </c>
      <c r="B44" s="33">
        <v>4.1399999999999997</v>
      </c>
      <c r="C44" s="33">
        <v>3.22</v>
      </c>
      <c r="D44" s="34">
        <v>2.5099999999999998</v>
      </c>
      <c r="E44" s="34">
        <v>1.95</v>
      </c>
      <c r="F44" s="34">
        <v>1.5</v>
      </c>
    </row>
    <row r="45" spans="1:6" ht="15" customHeight="1" x14ac:dyDescent="0.2">
      <c r="A45" s="32" t="s">
        <v>160</v>
      </c>
      <c r="B45" s="33">
        <v>3.63</v>
      </c>
      <c r="C45" s="34">
        <v>2.83</v>
      </c>
      <c r="D45" s="35">
        <v>2.23</v>
      </c>
      <c r="E45" s="34">
        <v>1.75</v>
      </c>
      <c r="F45" s="34">
        <v>1.4</v>
      </c>
    </row>
    <row r="46" spans="1:6" ht="15" customHeight="1" x14ac:dyDescent="0.2">
      <c r="A46" s="32" t="s">
        <v>161</v>
      </c>
      <c r="B46" s="33">
        <v>3.24</v>
      </c>
      <c r="C46" s="34">
        <v>2.5499999999999998</v>
      </c>
      <c r="D46" s="34">
        <v>2.02</v>
      </c>
      <c r="E46" s="34">
        <v>1.6</v>
      </c>
      <c r="F46" s="34">
        <v>1.4</v>
      </c>
    </row>
    <row r="47" spans="1:6" ht="15" customHeight="1" x14ac:dyDescent="0.2">
      <c r="A47" s="32" t="s">
        <v>162</v>
      </c>
      <c r="B47" s="34">
        <v>2.94</v>
      </c>
      <c r="C47" s="34">
        <v>2.3199999999999998</v>
      </c>
      <c r="D47" s="34">
        <v>1.85</v>
      </c>
      <c r="E47" s="34">
        <v>1.48</v>
      </c>
      <c r="F47" s="34">
        <v>1.4</v>
      </c>
    </row>
    <row r="49" spans="1:5" ht="15" customHeight="1" x14ac:dyDescent="0.2">
      <c r="A49" s="56" t="s">
        <v>163</v>
      </c>
      <c r="B49" s="55"/>
      <c r="C49" s="55"/>
      <c r="D49" s="55"/>
      <c r="E49" s="55"/>
    </row>
    <row r="51" spans="1:5" ht="15" customHeight="1" x14ac:dyDescent="0.2">
      <c r="A51" s="36" t="s">
        <v>164</v>
      </c>
      <c r="B51" s="37" t="s">
        <v>165</v>
      </c>
    </row>
    <row r="52" spans="1:5" ht="15" customHeight="1" x14ac:dyDescent="0.2">
      <c r="A52" s="38" t="s">
        <v>166</v>
      </c>
      <c r="B52" s="37" t="s">
        <v>167</v>
      </c>
    </row>
    <row r="53" spans="1:5" ht="15" customHeight="1" x14ac:dyDescent="0.2">
      <c r="A53" s="39" t="s">
        <v>168</v>
      </c>
      <c r="B53" s="37" t="s">
        <v>169</v>
      </c>
    </row>
    <row r="54" spans="1:5" ht="15" customHeight="1" x14ac:dyDescent="0.2">
      <c r="A54" s="40" t="s">
        <v>170</v>
      </c>
      <c r="B54" s="37" t="s">
        <v>171</v>
      </c>
    </row>
    <row r="55" spans="1:5" ht="15" customHeight="1" x14ac:dyDescent="0.2">
      <c r="A55" s="41" t="s">
        <v>172</v>
      </c>
      <c r="B55" s="37" t="s">
        <v>173</v>
      </c>
    </row>
    <row r="56" spans="1:5" ht="15" customHeight="1" x14ac:dyDescent="0.2">
      <c r="A56" s="42" t="s">
        <v>174</v>
      </c>
      <c r="B56" s="37" t="s">
        <v>175</v>
      </c>
    </row>
    <row r="57" spans="1:5" ht="15" customHeight="1" x14ac:dyDescent="0.2">
      <c r="A57" s="43" t="s">
        <v>176</v>
      </c>
      <c r="B57" s="37" t="s">
        <v>177</v>
      </c>
    </row>
  </sheetData>
  <mergeCells count="7">
    <mergeCell ref="A2:E2"/>
    <mergeCell ref="A25:E25"/>
    <mergeCell ref="A41:E41"/>
    <mergeCell ref="A49:E49"/>
    <mergeCell ref="A1:E1"/>
    <mergeCell ref="A5:E5"/>
    <mergeCell ref="A32:E3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1"/>
  <sheetViews>
    <sheetView zoomScaleNormal="100" workbookViewId="0">
      <selection sqref="A1:G1"/>
    </sheetView>
  </sheetViews>
  <sheetFormatPr baseColWidth="10" defaultColWidth="8.6640625" defaultRowHeight="15" customHeight="1" x14ac:dyDescent="0.2"/>
  <cols>
    <col min="1" max="1" width="30" customWidth="1"/>
    <col min="2" max="6" width="14" customWidth="1"/>
    <col min="7" max="7" width="24.1640625" customWidth="1"/>
  </cols>
  <sheetData>
    <row r="1" spans="1:7" ht="27.75" customHeight="1" x14ac:dyDescent="0.2">
      <c r="A1" s="60" t="s">
        <v>178</v>
      </c>
      <c r="B1" s="55"/>
      <c r="C1" s="55"/>
      <c r="D1" s="55"/>
      <c r="E1" s="55"/>
      <c r="F1" s="55"/>
      <c r="G1" s="55"/>
    </row>
    <row r="2" spans="1:7" ht="18" customHeight="1" x14ac:dyDescent="0.2">
      <c r="A2" s="54" t="s">
        <v>179</v>
      </c>
      <c r="B2" s="55"/>
      <c r="C2" s="55"/>
      <c r="D2" s="55"/>
      <c r="E2" s="55"/>
      <c r="F2" s="55"/>
      <c r="G2" s="55"/>
    </row>
    <row r="5" spans="1:7" ht="19.5" customHeight="1" x14ac:dyDescent="0.2">
      <c r="A5" s="56" t="s">
        <v>180</v>
      </c>
      <c r="B5" s="55"/>
      <c r="C5" s="55"/>
      <c r="D5" s="55"/>
      <c r="E5" s="55"/>
      <c r="F5" s="55"/>
      <c r="G5" s="55"/>
    </row>
    <row r="6" spans="1:7" ht="27.75" customHeight="1" x14ac:dyDescent="0.2">
      <c r="A6" s="44" t="s">
        <v>181</v>
      </c>
      <c r="B6" s="44" t="s">
        <v>62</v>
      </c>
      <c r="C6" s="44" t="s">
        <v>182</v>
      </c>
      <c r="D6" s="44" t="s">
        <v>183</v>
      </c>
      <c r="E6" s="44" t="s">
        <v>184</v>
      </c>
      <c r="F6" s="44" t="s">
        <v>185</v>
      </c>
      <c r="G6" s="44" t="s">
        <v>186</v>
      </c>
    </row>
    <row r="7" spans="1:7" ht="15" customHeight="1" x14ac:dyDescent="0.2">
      <c r="A7" s="45" t="s">
        <v>187</v>
      </c>
      <c r="B7" s="45" t="s">
        <v>188</v>
      </c>
      <c r="C7" s="46">
        <v>262500</v>
      </c>
      <c r="D7" s="47">
        <v>262500</v>
      </c>
      <c r="E7" s="47">
        <v>6737500</v>
      </c>
      <c r="F7" s="48">
        <v>56146</v>
      </c>
      <c r="G7" s="49">
        <v>56146</v>
      </c>
    </row>
    <row r="8" spans="1:7" ht="15" customHeight="1" x14ac:dyDescent="0.2">
      <c r="A8" s="50" t="s">
        <v>189</v>
      </c>
      <c r="B8" s="50" t="s">
        <v>190</v>
      </c>
      <c r="C8" s="51">
        <v>262500</v>
      </c>
      <c r="D8" s="52">
        <v>525000</v>
      </c>
      <c r="E8" s="52">
        <v>6475000</v>
      </c>
      <c r="F8" s="53">
        <v>53958</v>
      </c>
      <c r="G8">
        <v>110104</v>
      </c>
    </row>
    <row r="9" spans="1:7" ht="15" customHeight="1" x14ac:dyDescent="0.2">
      <c r="A9" s="45" t="s">
        <v>191</v>
      </c>
      <c r="B9" s="45" t="s">
        <v>192</v>
      </c>
      <c r="C9" s="46">
        <v>262500</v>
      </c>
      <c r="D9" s="47">
        <v>787500</v>
      </c>
      <c r="E9" s="47">
        <v>6212500</v>
      </c>
      <c r="F9" s="48">
        <v>51771</v>
      </c>
      <c r="G9" s="49">
        <v>161875</v>
      </c>
    </row>
    <row r="10" spans="1:7" ht="15" customHeight="1" x14ac:dyDescent="0.2">
      <c r="A10" s="50" t="s">
        <v>193</v>
      </c>
      <c r="B10" s="50" t="s">
        <v>194</v>
      </c>
      <c r="C10" s="51">
        <v>262500</v>
      </c>
      <c r="D10" s="52">
        <v>1050000</v>
      </c>
      <c r="E10" s="52">
        <v>5950000</v>
      </c>
      <c r="F10" s="53">
        <v>49583</v>
      </c>
      <c r="G10">
        <v>211458</v>
      </c>
    </row>
    <row r="11" spans="1:7" ht="15" customHeight="1" x14ac:dyDescent="0.2">
      <c r="A11" s="45"/>
      <c r="B11" s="45"/>
      <c r="C11" s="46"/>
      <c r="D11" s="47"/>
      <c r="E11" s="47"/>
      <c r="F11" s="48"/>
      <c r="G11" s="49"/>
    </row>
    <row r="12" spans="1:7" ht="15" customHeight="1" x14ac:dyDescent="0.2">
      <c r="A12" s="61" t="s">
        <v>195</v>
      </c>
      <c r="B12" s="55"/>
      <c r="C12" s="55"/>
      <c r="D12" s="55"/>
      <c r="E12" s="55"/>
      <c r="F12" s="55"/>
      <c r="G12" s="55"/>
    </row>
    <row r="13" spans="1:7" ht="19.5" customHeight="1" x14ac:dyDescent="0.2">
      <c r="A13" s="1" t="s">
        <v>181</v>
      </c>
      <c r="B13" t="s">
        <v>62</v>
      </c>
      <c r="C13" t="s">
        <v>182</v>
      </c>
      <c r="D13" t="s">
        <v>183</v>
      </c>
      <c r="E13" t="s">
        <v>184</v>
      </c>
      <c r="F13" t="s">
        <v>185</v>
      </c>
      <c r="G13" t="s">
        <v>186</v>
      </c>
    </row>
    <row r="14" spans="1:7" ht="27.75" customHeight="1" x14ac:dyDescent="0.2">
      <c r="A14" s="44" t="s">
        <v>196</v>
      </c>
      <c r="B14" s="44" t="s">
        <v>197</v>
      </c>
      <c r="C14" s="44">
        <v>437500</v>
      </c>
      <c r="D14" s="44">
        <v>1487500</v>
      </c>
      <c r="E14" s="44">
        <v>5512500</v>
      </c>
      <c r="F14" s="44">
        <v>45938</v>
      </c>
      <c r="G14" s="44">
        <v>257396</v>
      </c>
    </row>
    <row r="15" spans="1:7" ht="15" customHeight="1" x14ac:dyDescent="0.2">
      <c r="A15" s="45" t="s">
        <v>198</v>
      </c>
      <c r="B15" s="45" t="s">
        <v>199</v>
      </c>
      <c r="C15" s="46">
        <v>437500</v>
      </c>
      <c r="D15" s="47">
        <v>1925000</v>
      </c>
      <c r="E15" s="47">
        <v>5075000</v>
      </c>
      <c r="F15" s="48">
        <v>42292</v>
      </c>
      <c r="G15" s="49">
        <v>299688</v>
      </c>
    </row>
    <row r="16" spans="1:7" ht="15" customHeight="1" x14ac:dyDescent="0.2">
      <c r="A16" s="50" t="s">
        <v>200</v>
      </c>
      <c r="B16" s="50" t="s">
        <v>201</v>
      </c>
      <c r="C16" s="51">
        <v>437500</v>
      </c>
      <c r="D16" s="52">
        <v>2362500</v>
      </c>
      <c r="E16" s="52">
        <v>4637500</v>
      </c>
      <c r="F16" s="53">
        <v>38646</v>
      </c>
      <c r="G16">
        <v>338334</v>
      </c>
    </row>
    <row r="17" spans="1:7" ht="15" customHeight="1" x14ac:dyDescent="0.2">
      <c r="A17" s="45" t="s">
        <v>202</v>
      </c>
      <c r="B17" s="45" t="s">
        <v>203</v>
      </c>
      <c r="C17" s="46">
        <v>437500</v>
      </c>
      <c r="D17" s="47">
        <v>2800000</v>
      </c>
      <c r="E17" s="47">
        <v>4200000</v>
      </c>
      <c r="F17" s="48">
        <v>35000</v>
      </c>
      <c r="G17" s="49">
        <v>373334</v>
      </c>
    </row>
    <row r="18" spans="1:7" ht="15" customHeight="1" x14ac:dyDescent="0.2">
      <c r="A18" s="50"/>
      <c r="B18" s="50"/>
      <c r="C18" s="51"/>
      <c r="D18" s="52"/>
      <c r="E18" s="52"/>
      <c r="F18" s="53"/>
    </row>
    <row r="19" spans="1:7" ht="15" customHeight="1" x14ac:dyDescent="0.2">
      <c r="A19" s="59" t="s">
        <v>204</v>
      </c>
      <c r="B19" s="55"/>
      <c r="C19" s="55"/>
      <c r="D19" s="55"/>
      <c r="E19" s="55"/>
      <c r="F19" s="55"/>
      <c r="G19" s="55"/>
    </row>
    <row r="20" spans="1:7" ht="15" customHeight="1" x14ac:dyDescent="0.2">
      <c r="A20" s="50" t="s">
        <v>181</v>
      </c>
      <c r="B20" s="50" t="s">
        <v>62</v>
      </c>
      <c r="C20" s="51" t="s">
        <v>182</v>
      </c>
      <c r="D20" s="52" t="s">
        <v>183</v>
      </c>
      <c r="E20" s="52" t="s">
        <v>184</v>
      </c>
      <c r="F20" s="53" t="s">
        <v>185</v>
      </c>
      <c r="G20" t="s">
        <v>186</v>
      </c>
    </row>
    <row r="21" spans="1:7" ht="19.5" customHeight="1" x14ac:dyDescent="0.2">
      <c r="A21" s="1" t="s">
        <v>205</v>
      </c>
      <c r="B21" t="s">
        <v>206</v>
      </c>
      <c r="C21">
        <v>560000</v>
      </c>
      <c r="D21">
        <v>3360000</v>
      </c>
      <c r="E21">
        <v>3640000</v>
      </c>
      <c r="F21">
        <v>30333</v>
      </c>
      <c r="G21">
        <v>403667</v>
      </c>
    </row>
    <row r="22" spans="1:7" ht="27.75" customHeight="1" x14ac:dyDescent="0.2">
      <c r="A22" s="44" t="s">
        <v>207</v>
      </c>
      <c r="B22" s="44" t="s">
        <v>208</v>
      </c>
      <c r="C22" s="44">
        <v>560000</v>
      </c>
      <c r="D22" s="44">
        <v>3920000</v>
      </c>
      <c r="E22" s="44">
        <v>3080000</v>
      </c>
      <c r="F22" s="44">
        <v>25667</v>
      </c>
      <c r="G22" s="44">
        <v>429334</v>
      </c>
    </row>
    <row r="23" spans="1:7" ht="15" customHeight="1" x14ac:dyDescent="0.2">
      <c r="A23" s="45" t="s">
        <v>209</v>
      </c>
      <c r="B23" s="45" t="s">
        <v>210</v>
      </c>
      <c r="C23" s="46">
        <v>560000</v>
      </c>
      <c r="D23" s="47">
        <v>4480000</v>
      </c>
      <c r="E23" s="47">
        <v>2520000</v>
      </c>
      <c r="F23" s="48">
        <v>21000</v>
      </c>
      <c r="G23" s="49">
        <v>450334</v>
      </c>
    </row>
    <row r="24" spans="1:7" ht="15" customHeight="1" x14ac:dyDescent="0.2">
      <c r="A24" s="50" t="s">
        <v>211</v>
      </c>
      <c r="B24" s="50" t="s">
        <v>212</v>
      </c>
      <c r="C24" s="51">
        <v>560000</v>
      </c>
      <c r="D24" s="52">
        <v>5040000</v>
      </c>
      <c r="E24" s="52">
        <v>1960000</v>
      </c>
      <c r="F24" s="53">
        <v>16333</v>
      </c>
      <c r="G24">
        <v>466667</v>
      </c>
    </row>
    <row r="25" spans="1:7" ht="15" customHeight="1" x14ac:dyDescent="0.2">
      <c r="A25" s="45" t="s">
        <v>213</v>
      </c>
      <c r="B25" s="45" t="s">
        <v>214</v>
      </c>
      <c r="C25" s="46">
        <v>560000</v>
      </c>
      <c r="D25" s="47">
        <v>5600000</v>
      </c>
      <c r="E25" s="47">
        <v>1400000</v>
      </c>
      <c r="F25" s="48">
        <v>11667</v>
      </c>
      <c r="G25" s="49">
        <v>478334</v>
      </c>
    </row>
    <row r="26" spans="1:7" ht="15" customHeight="1" x14ac:dyDescent="0.2">
      <c r="A26" s="50"/>
      <c r="B26" s="50"/>
      <c r="C26" s="51"/>
      <c r="D26" s="52"/>
      <c r="E26" s="52"/>
      <c r="F26" s="53"/>
    </row>
    <row r="27" spans="1:7" ht="15" customHeight="1" x14ac:dyDescent="0.2">
      <c r="A27" s="59" t="s">
        <v>215</v>
      </c>
      <c r="B27" s="55"/>
      <c r="C27" s="55"/>
      <c r="D27" s="55"/>
      <c r="E27" s="55"/>
      <c r="F27" s="55"/>
      <c r="G27" s="55"/>
    </row>
    <row r="28" spans="1:7" ht="15" customHeight="1" x14ac:dyDescent="0.2">
      <c r="A28" s="50" t="s">
        <v>181</v>
      </c>
      <c r="B28" s="50" t="s">
        <v>62</v>
      </c>
      <c r="C28" s="51" t="s">
        <v>182</v>
      </c>
      <c r="D28" s="52" t="s">
        <v>183</v>
      </c>
      <c r="E28" s="52" t="s">
        <v>184</v>
      </c>
      <c r="F28" s="53" t="s">
        <v>185</v>
      </c>
      <c r="G28" t="s">
        <v>186</v>
      </c>
    </row>
    <row r="29" spans="1:7" ht="19.5" customHeight="1" x14ac:dyDescent="0.2">
      <c r="A29" s="1" t="s">
        <v>216</v>
      </c>
      <c r="B29" t="s">
        <v>217</v>
      </c>
      <c r="C29">
        <v>466667</v>
      </c>
      <c r="D29">
        <v>6066667</v>
      </c>
      <c r="E29">
        <v>933333</v>
      </c>
      <c r="F29">
        <v>7778</v>
      </c>
      <c r="G29">
        <v>486112</v>
      </c>
    </row>
    <row r="30" spans="1:7" ht="27.75" customHeight="1" x14ac:dyDescent="0.2">
      <c r="A30" s="44" t="s">
        <v>218</v>
      </c>
      <c r="B30" s="44" t="s">
        <v>219</v>
      </c>
      <c r="C30" s="44">
        <v>466667</v>
      </c>
      <c r="D30" s="44">
        <v>6533334</v>
      </c>
      <c r="E30" s="44">
        <v>466666</v>
      </c>
      <c r="F30" s="44">
        <v>3889</v>
      </c>
      <c r="G30" s="44">
        <v>490001</v>
      </c>
    </row>
    <row r="31" spans="1:7" ht="15" customHeight="1" x14ac:dyDescent="0.2">
      <c r="A31" s="45" t="s">
        <v>220</v>
      </c>
      <c r="B31" s="45" t="s">
        <v>221</v>
      </c>
      <c r="C31" s="46">
        <v>466666</v>
      </c>
      <c r="D31" s="47">
        <v>7000000</v>
      </c>
      <c r="E31" s="47">
        <v>0</v>
      </c>
      <c r="F31" s="48">
        <v>0</v>
      </c>
      <c r="G31" s="49">
        <v>490001</v>
      </c>
    </row>
    <row r="32" spans="1:7" ht="15" customHeight="1" x14ac:dyDescent="0.2">
      <c r="A32" s="50"/>
      <c r="B32" s="50"/>
      <c r="C32" s="51"/>
      <c r="D32" s="52"/>
      <c r="E32" s="52"/>
      <c r="F32" s="53"/>
    </row>
    <row r="33" spans="1:7" ht="15" customHeight="1" x14ac:dyDescent="0.2">
      <c r="A33" s="59" t="s">
        <v>222</v>
      </c>
      <c r="B33" s="55"/>
      <c r="C33" s="55"/>
      <c r="D33" s="55"/>
      <c r="E33" s="55"/>
      <c r="F33" s="55"/>
      <c r="G33" s="55"/>
    </row>
    <row r="34" spans="1:7" ht="15" customHeight="1" x14ac:dyDescent="0.2">
      <c r="A34" s="50" t="s">
        <v>223</v>
      </c>
      <c r="B34" s="50"/>
      <c r="C34" s="51">
        <v>7000000</v>
      </c>
      <c r="D34" s="52"/>
      <c r="E34" s="52"/>
      <c r="F34" s="53"/>
    </row>
    <row r="35" spans="1:7" ht="15" customHeight="1" x14ac:dyDescent="0.2">
      <c r="A35" s="45" t="s">
        <v>224</v>
      </c>
      <c r="B35" s="45"/>
      <c r="C35" s="46"/>
      <c r="D35" s="47"/>
      <c r="E35" s="47"/>
      <c r="F35" s="48">
        <v>490001</v>
      </c>
      <c r="G35" s="49"/>
    </row>
    <row r="36" spans="1:7" ht="15" customHeight="1" x14ac:dyDescent="0.2">
      <c r="A36" s="50" t="s">
        <v>225</v>
      </c>
      <c r="B36" s="50"/>
      <c r="C36" s="51"/>
      <c r="D36" s="52"/>
      <c r="E36" s="52"/>
      <c r="F36" s="53"/>
    </row>
    <row r="38" spans="1:7" ht="15" customHeight="1" x14ac:dyDescent="0.2">
      <c r="A38" s="1"/>
    </row>
    <row r="39" spans="1:7" ht="23.25" customHeight="1" x14ac:dyDescent="0.2">
      <c r="A39" s="20"/>
      <c r="C39" s="7"/>
    </row>
    <row r="40" spans="1:7" ht="23.25" customHeight="1" x14ac:dyDescent="0.2">
      <c r="A40" s="20"/>
      <c r="F40" s="7"/>
    </row>
    <row r="41" spans="1:7" ht="42.75" customHeight="1" x14ac:dyDescent="0.2">
      <c r="A41" s="5"/>
    </row>
  </sheetData>
  <mergeCells count="7">
    <mergeCell ref="A33:G33"/>
    <mergeCell ref="A5:G5"/>
    <mergeCell ref="A19:G19"/>
    <mergeCell ref="A1:G1"/>
    <mergeCell ref="A27:G27"/>
    <mergeCell ref="A12:G12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Fund Assumptions</vt:lpstr>
      <vt:lpstr>Treasury Cashflow</vt:lpstr>
      <vt:lpstr>Waterfall Analysis</vt:lpstr>
      <vt:lpstr>Construction Drawdown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Kevyn Shorey</dc:creator>
  <cp:lastModifiedBy>Kevyn Shorey</cp:lastModifiedBy>
  <cp:revision>0</cp:revision>
  <dcterms:created xsi:type="dcterms:W3CDTF">2026-02-19T22:22:26Z</dcterms:created>
  <dcterms:modified xsi:type="dcterms:W3CDTF">2026-03-05T11:48:29Z</dcterms:modified>
  <dc:language>en-US</dc:language>
</cp:coreProperties>
</file>
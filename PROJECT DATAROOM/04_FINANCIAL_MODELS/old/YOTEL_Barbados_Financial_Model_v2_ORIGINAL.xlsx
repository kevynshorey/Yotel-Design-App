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evynshorey/Library/Mobile Documents/com~apple~CloudDocs/Documents/YOTEL/MAGNUS /"/>
    </mc:Choice>
  </mc:AlternateContent>
  <xr:revisionPtr revIDLastSave="0" documentId="8_{1E393F04-BE6D-384A-AA49-85D048988E49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Assumptions" sheetId="1" r:id="rId1"/>
    <sheet name="10-Year Proforma" sheetId="2" r:id="rId2"/>
    <sheet name="Returns Analysis" sheetId="3" r:id="rId3"/>
    <sheet name="Soft Cost Phasing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B27" i="3"/>
  <c r="B30" i="3" s="1"/>
  <c r="B34" i="3" s="1"/>
  <c r="B35" i="3" s="1"/>
  <c r="B10" i="3"/>
  <c r="B9" i="3"/>
  <c r="B8" i="3"/>
  <c r="B7" i="3"/>
  <c r="B6" i="3"/>
  <c r="K39" i="2"/>
  <c r="J39" i="2"/>
  <c r="C39" i="2"/>
  <c r="B39" i="2"/>
  <c r="K38" i="2"/>
  <c r="J38" i="2"/>
  <c r="I38" i="2"/>
  <c r="H38" i="2"/>
  <c r="G38" i="2"/>
  <c r="F38" i="2"/>
  <c r="E38" i="2"/>
  <c r="D38" i="2"/>
  <c r="D39" i="2" s="1"/>
  <c r="C38" i="2"/>
  <c r="B38" i="2"/>
  <c r="K37" i="2"/>
  <c r="J37" i="2"/>
  <c r="I37" i="2"/>
  <c r="I39" i="2" s="1"/>
  <c r="H37" i="2"/>
  <c r="H39" i="2" s="1"/>
  <c r="G37" i="2"/>
  <c r="G39" i="2" s="1"/>
  <c r="F37" i="2"/>
  <c r="F39" i="2" s="1"/>
  <c r="E37" i="2"/>
  <c r="E39" i="2" s="1"/>
  <c r="D37" i="2"/>
  <c r="C37" i="2"/>
  <c r="B37" i="2"/>
  <c r="D32" i="2"/>
  <c r="E32" i="2" s="1"/>
  <c r="F32" i="2" s="1"/>
  <c r="G32" i="2" s="1"/>
  <c r="H32" i="2" s="1"/>
  <c r="I32" i="2" s="1"/>
  <c r="J32" i="2" s="1"/>
  <c r="K32" i="2" s="1"/>
  <c r="C32" i="2"/>
  <c r="H20" i="2"/>
  <c r="I20" i="2" s="1"/>
  <c r="J20" i="2" s="1"/>
  <c r="K20" i="2" s="1"/>
  <c r="G20" i="2"/>
  <c r="C20" i="2"/>
  <c r="D20" i="2" s="1"/>
  <c r="E20" i="2" s="1"/>
  <c r="F20" i="2" s="1"/>
  <c r="B8" i="2"/>
  <c r="B15" i="2" s="1"/>
  <c r="E7" i="2"/>
  <c r="D7" i="2"/>
  <c r="C7" i="2"/>
  <c r="F6" i="2"/>
  <c r="G6" i="2" s="1"/>
  <c r="D80" i="1"/>
  <c r="B70" i="1"/>
  <c r="F51" i="1"/>
  <c r="F7" i="2" s="1"/>
  <c r="G7" i="2" s="1"/>
  <c r="H7" i="2" s="1"/>
  <c r="I7" i="2" s="1"/>
  <c r="J7" i="2" s="1"/>
  <c r="K7" i="2" s="1"/>
  <c r="E51" i="1"/>
  <c r="D51" i="1"/>
  <c r="C51" i="1"/>
  <c r="B51" i="1"/>
  <c r="B7" i="2" s="1"/>
  <c r="F46" i="1"/>
  <c r="E46" i="1"/>
  <c r="E6" i="2" s="1"/>
  <c r="E8" i="2" s="1"/>
  <c r="D46" i="1"/>
  <c r="C46" i="1"/>
  <c r="B46" i="1"/>
  <c r="B6" i="2" s="1"/>
  <c r="C38" i="1"/>
  <c r="D33" i="1" s="1"/>
  <c r="D32" i="1"/>
  <c r="D31" i="1"/>
  <c r="D30" i="1"/>
  <c r="B22" i="1"/>
  <c r="C21" i="1"/>
  <c r="G8" i="2" l="1"/>
  <c r="H6" i="2"/>
  <c r="F20" i="3"/>
  <c r="C6" i="2"/>
  <c r="C8" i="2" s="1"/>
  <c r="C9" i="2"/>
  <c r="E15" i="2"/>
  <c r="D6" i="2"/>
  <c r="D8" i="2" s="1"/>
  <c r="D9" i="2"/>
  <c r="B11" i="3"/>
  <c r="E20" i="3"/>
  <c r="B20" i="3"/>
  <c r="B5" i="3"/>
  <c r="C18" i="1"/>
  <c r="C17" i="1"/>
  <c r="C16" i="1"/>
  <c r="C15" i="1"/>
  <c r="F9" i="2"/>
  <c r="F8" i="2"/>
  <c r="C19" i="1"/>
  <c r="D37" i="1"/>
  <c r="D29" i="1"/>
  <c r="D36" i="1"/>
  <c r="D28" i="1"/>
  <c r="D35" i="1"/>
  <c r="D27" i="1"/>
  <c r="D34" i="1"/>
  <c r="D26" i="1"/>
  <c r="D20" i="3"/>
  <c r="C20" i="3"/>
  <c r="C20" i="1"/>
  <c r="B9" i="2"/>
  <c r="E9" i="2"/>
  <c r="D10" i="2" l="1"/>
  <c r="D11" i="2"/>
  <c r="D15" i="2"/>
  <c r="D12" i="2"/>
  <c r="E10" i="2"/>
  <c r="E11" i="2"/>
  <c r="G9" i="2"/>
  <c r="H9" i="2" s="1"/>
  <c r="I9" i="2" s="1"/>
  <c r="J9" i="2" s="1"/>
  <c r="K9" i="2" s="1"/>
  <c r="F10" i="2"/>
  <c r="F11" i="2"/>
  <c r="G11" i="2" s="1"/>
  <c r="H11" i="2" s="1"/>
  <c r="I11" i="2" s="1"/>
  <c r="J11" i="2" s="1"/>
  <c r="K11" i="2" s="1"/>
  <c r="H8" i="2"/>
  <c r="I6" i="2"/>
  <c r="B11" i="2"/>
  <c r="B10" i="2"/>
  <c r="F15" i="2"/>
  <c r="C11" i="2"/>
  <c r="C10" i="2"/>
  <c r="G15" i="2"/>
  <c r="C15" i="2"/>
  <c r="C12" i="2"/>
  <c r="F25" i="2" l="1"/>
  <c r="G10" i="2"/>
  <c r="F16" i="2"/>
  <c r="F12" i="2"/>
  <c r="B25" i="2"/>
  <c r="B16" i="2"/>
  <c r="B12" i="2"/>
  <c r="I8" i="2"/>
  <c r="J6" i="2"/>
  <c r="D31" i="2"/>
  <c r="D21" i="2"/>
  <c r="C15" i="3"/>
  <c r="D19" i="2"/>
  <c r="D24" i="2"/>
  <c r="D23" i="2"/>
  <c r="D22" i="2"/>
  <c r="D18" i="2"/>
  <c r="D17" i="2"/>
  <c r="H15" i="2"/>
  <c r="C25" i="2"/>
  <c r="C16" i="2"/>
  <c r="C17" i="2"/>
  <c r="C31" i="2"/>
  <c r="C21" i="2"/>
  <c r="C24" i="2"/>
  <c r="C23" i="2"/>
  <c r="C19" i="2"/>
  <c r="C22" i="2"/>
  <c r="C18" i="2"/>
  <c r="C26" i="2"/>
  <c r="C27" i="2" s="1"/>
  <c r="E16" i="2"/>
  <c r="E25" i="2"/>
  <c r="E12" i="2"/>
  <c r="D25" i="2"/>
  <c r="D16" i="2"/>
  <c r="D26" i="2" s="1"/>
  <c r="D27" i="2" s="1"/>
  <c r="C33" i="2" l="1"/>
  <c r="C28" i="2"/>
  <c r="D33" i="2"/>
  <c r="C16" i="3"/>
  <c r="D28" i="2"/>
  <c r="C17" i="3" s="1"/>
  <c r="I15" i="2"/>
  <c r="D15" i="3"/>
  <c r="F24" i="2"/>
  <c r="F19" i="2"/>
  <c r="F18" i="2"/>
  <c r="F23" i="2"/>
  <c r="F22" i="2"/>
  <c r="F17" i="2"/>
  <c r="F21" i="2"/>
  <c r="F31" i="2"/>
  <c r="B22" i="2"/>
  <c r="B17" i="2"/>
  <c r="B26" i="2" s="1"/>
  <c r="B27" i="2" s="1"/>
  <c r="B24" i="2"/>
  <c r="B15" i="3"/>
  <c r="B31" i="2"/>
  <c r="B21" i="2"/>
  <c r="B19" i="2"/>
  <c r="B23" i="2"/>
  <c r="B18" i="2"/>
  <c r="E24" i="2"/>
  <c r="E22" i="2"/>
  <c r="E19" i="2"/>
  <c r="E26" i="2" s="1"/>
  <c r="E27" i="2" s="1"/>
  <c r="E23" i="2"/>
  <c r="E18" i="2"/>
  <c r="E31" i="2"/>
  <c r="E17" i="2"/>
  <c r="E21" i="2"/>
  <c r="G25" i="2"/>
  <c r="H10" i="2"/>
  <c r="G16" i="2"/>
  <c r="G12" i="2"/>
  <c r="K6" i="2"/>
  <c r="K8" i="2" s="1"/>
  <c r="J8" i="2"/>
  <c r="E33" i="2" l="1"/>
  <c r="E28" i="2"/>
  <c r="B16" i="3"/>
  <c r="B33" i="2"/>
  <c r="B28" i="2"/>
  <c r="B17" i="3" s="1"/>
  <c r="G19" i="2"/>
  <c r="G23" i="2"/>
  <c r="G22" i="2"/>
  <c r="G31" i="2"/>
  <c r="G21" i="2"/>
  <c r="G18" i="2"/>
  <c r="G17" i="2"/>
  <c r="G26" i="2" s="1"/>
  <c r="G27" i="2" s="1"/>
  <c r="G24" i="2"/>
  <c r="I10" i="2"/>
  <c r="H25" i="2"/>
  <c r="H16" i="2"/>
  <c r="H12" i="2"/>
  <c r="J15" i="2"/>
  <c r="D40" i="2"/>
  <c r="C21" i="3" s="1"/>
  <c r="C18" i="3"/>
  <c r="D41" i="2"/>
  <c r="C22" i="3" s="1"/>
  <c r="D34" i="2"/>
  <c r="C19" i="3" s="1"/>
  <c r="K15" i="2"/>
  <c r="F26" i="2"/>
  <c r="F27" i="2" s="1"/>
  <c r="C40" i="2"/>
  <c r="C41" i="2"/>
  <c r="C34" i="2"/>
  <c r="G33" i="2" l="1"/>
  <c r="G28" i="2"/>
  <c r="E15" i="3"/>
  <c r="H23" i="2"/>
  <c r="H18" i="2"/>
  <c r="H21" i="2"/>
  <c r="H22" i="2"/>
  <c r="H17" i="2"/>
  <c r="H26" i="2" s="1"/>
  <c r="H27" i="2" s="1"/>
  <c r="H31" i="2"/>
  <c r="H19" i="2"/>
  <c r="H24" i="2"/>
  <c r="F33" i="2"/>
  <c r="D16" i="3"/>
  <c r="F28" i="2"/>
  <c r="D17" i="3" s="1"/>
  <c r="B40" i="2"/>
  <c r="B21" i="3" s="1"/>
  <c r="B18" i="3"/>
  <c r="B41" i="2"/>
  <c r="B22" i="3" s="1"/>
  <c r="B34" i="2"/>
  <c r="B19" i="3" s="1"/>
  <c r="I25" i="2"/>
  <c r="J10" i="2"/>
  <c r="I16" i="2"/>
  <c r="I12" i="2"/>
  <c r="E40" i="2"/>
  <c r="E41" i="2"/>
  <c r="E34" i="2"/>
  <c r="H33" i="2" l="1"/>
  <c r="E16" i="3"/>
  <c r="H28" i="2"/>
  <c r="E17" i="3" s="1"/>
  <c r="D18" i="3"/>
  <c r="F40" i="2"/>
  <c r="F41" i="2"/>
  <c r="D22" i="3" s="1"/>
  <c r="F34" i="2"/>
  <c r="D19" i="3" s="1"/>
  <c r="J16" i="2"/>
  <c r="J25" i="2"/>
  <c r="K10" i="2"/>
  <c r="J12" i="2"/>
  <c r="G40" i="2"/>
  <c r="G41" i="2"/>
  <c r="G34" i="2"/>
  <c r="I18" i="2"/>
  <c r="I22" i="2"/>
  <c r="I24" i="2"/>
  <c r="I17" i="2"/>
  <c r="I26" i="2" s="1"/>
  <c r="I27" i="2" s="1"/>
  <c r="I31" i="2"/>
  <c r="I21" i="2"/>
  <c r="I19" i="2"/>
  <c r="I23" i="2"/>
  <c r="I33" i="2" l="1"/>
  <c r="I28" i="2"/>
  <c r="D21" i="3"/>
  <c r="B36" i="3"/>
  <c r="J22" i="2"/>
  <c r="J17" i="2"/>
  <c r="J26" i="2" s="1"/>
  <c r="J27" i="2" s="1"/>
  <c r="J19" i="2"/>
  <c r="J31" i="2"/>
  <c r="J21" i="2"/>
  <c r="J24" i="2"/>
  <c r="J18" i="2"/>
  <c r="J23" i="2"/>
  <c r="K25" i="2"/>
  <c r="K16" i="2"/>
  <c r="K12" i="2"/>
  <c r="E18" i="3"/>
  <c r="H40" i="2"/>
  <c r="E21" i="3" s="1"/>
  <c r="H41" i="2"/>
  <c r="E22" i="3" s="1"/>
  <c r="H34" i="2"/>
  <c r="E19" i="3" s="1"/>
  <c r="J33" i="2" l="1"/>
  <c r="J28" i="2"/>
  <c r="K17" i="2"/>
  <c r="K31" i="2"/>
  <c r="K21" i="2"/>
  <c r="K23" i="2"/>
  <c r="K24" i="2"/>
  <c r="K19" i="2"/>
  <c r="K22" i="2"/>
  <c r="K18" i="2"/>
  <c r="F15" i="3"/>
  <c r="K26" i="2"/>
  <c r="K27" i="2" s="1"/>
  <c r="I40" i="2"/>
  <c r="I41" i="2"/>
  <c r="I34" i="2"/>
  <c r="F16" i="3" l="1"/>
  <c r="K33" i="2"/>
  <c r="K28" i="2"/>
  <c r="F17" i="3" s="1"/>
  <c r="J40" i="2"/>
  <c r="J41" i="2"/>
  <c r="J34" i="2"/>
  <c r="F18" i="3" l="1"/>
  <c r="K40" i="2"/>
  <c r="F21" i="3" s="1"/>
  <c r="K41" i="2"/>
  <c r="F22" i="3" s="1"/>
  <c r="K34" i="2"/>
  <c r="F19" i="3" s="1"/>
</calcChain>
</file>

<file path=xl/sharedStrings.xml><?xml version="1.0" encoding="utf-8"?>
<sst xmlns="http://schemas.openxmlformats.org/spreadsheetml/2006/main" count="312" uniqueCount="272">
  <si>
    <t>YOTEL + YOTELPAD BARBADOS  |  FINANCIAL MODEL</t>
  </si>
  <si>
    <t>Development Assumptions &amp; Inputs  —  Coruscant Developments Ltd.</t>
  </si>
  <si>
    <t>PROJECT OVERVIEW</t>
  </si>
  <si>
    <t xml:space="preserve">   Total Keys</t>
  </si>
  <si>
    <t>100 YOTEL SmartCabins + 30 YOTELPAD units</t>
  </si>
  <si>
    <t xml:space="preserve">   YOTEL Rooms</t>
  </si>
  <si>
    <t>SmartCabin ~145-170 sq ft</t>
  </si>
  <si>
    <t xml:space="preserve">   YOTELPAD Units</t>
  </si>
  <si>
    <t>Studios, 1BR, 2BR with kitchenettes</t>
  </si>
  <si>
    <t xml:space="preserve">   Total Development Cost (USD)</t>
  </si>
  <si>
    <t xml:space="preserve">   Cost per Key (USD)</t>
  </si>
  <si>
    <t xml:space="preserve">   Target Opening</t>
  </si>
  <si>
    <t>Q4 2027</t>
  </si>
  <si>
    <t>14-16 month modular programme from August 2026 construction start</t>
  </si>
  <si>
    <t xml:space="preserve">   Exchange Rate (BBD:USD)</t>
  </si>
  <si>
    <t>Fixed peg — 2 BBD = 1 USD</t>
  </si>
  <si>
    <t>DEVELOPMENT COST BREAKDOWN  (USD)</t>
  </si>
  <si>
    <t>Cost Item</t>
  </si>
  <si>
    <t>USD Amount</t>
  </si>
  <si>
    <t>% of Total</t>
  </si>
  <si>
    <t>Notes</t>
  </si>
  <si>
    <t xml:space="preserve">   Land Acquisition</t>
  </si>
  <si>
    <t>Site on Bay Street, Bridgetown</t>
  </si>
  <si>
    <t xml:space="preserve">   Site Work &amp; Utilities</t>
  </si>
  <si>
    <t>Limestone excavation, drainage, utility connections</t>
  </si>
  <si>
    <t xml:space="preserve">   Prefab Modules (130 keys)</t>
  </si>
  <si>
    <t>Factory fabrication + shipping (~65 x 40ft containers)</t>
  </si>
  <si>
    <t xml:space="preserve">   Assembly &amp; Construction</t>
  </si>
  <si>
    <t>On-site crane lift, MEP connections, frame erection</t>
  </si>
  <si>
    <t xml:space="preserve">   FF&amp;E &amp; Technology</t>
  </si>
  <si>
    <t>SmartBeds, Technowalls, YOTEL tech stack</t>
  </si>
  <si>
    <t xml:space="preserve">   Soft Costs (see detail below)</t>
  </si>
  <si>
    <t>Architect, consultants, permits, legal, pre-opening</t>
  </si>
  <si>
    <t xml:space="preserve">   Contingency (8%)</t>
  </si>
  <si>
    <t>Budget risk buffer</t>
  </si>
  <si>
    <t>TOTAL DEVELOPMENT COST</t>
  </si>
  <si>
    <t>100%</t>
  </si>
  <si>
    <t>SOFT COST DETAIL  (USD)  — real-world fee schedule</t>
  </si>
  <si>
    <t>Item</t>
  </si>
  <si>
    <t>Basis</t>
  </si>
  <si>
    <t>% of Soft Costs</t>
  </si>
  <si>
    <t xml:space="preserve">   Architect Fees (5.5% of construction cost)</t>
  </si>
  <si>
    <t>5.5% x BBD 58.5M</t>
  </si>
  <si>
    <t>Excl. 17.5% VAT. Stages 1-4 per fee schedule</t>
  </si>
  <si>
    <t xml:space="preserve">   Structural &amp; MEP Engineers</t>
  </si>
  <si>
    <t>~1.5% of construction</t>
  </si>
  <si>
    <t>Typically 25-30% of architect fee</t>
  </si>
  <si>
    <t xml:space="preserve">   YOTEL Technical Services (TSA)</t>
  </si>
  <si>
    <t>Lump sum / day rates</t>
  </si>
  <si>
    <t>Brand review, TSA sign-off, mock-up inspection</t>
  </si>
  <si>
    <t xml:space="preserve">   Project Manager / Owners Rep</t>
  </si>
  <si>
    <t>2% of construction</t>
  </si>
  <si>
    <t>On-site PM through construction to opening</t>
  </si>
  <si>
    <t xml:space="preserve">   Quantity Surveyor / Cost Consultant</t>
  </si>
  <si>
    <t>0.5% of construction</t>
  </si>
  <si>
    <t>BCQS or equivalent; ongoing cost reporting</t>
  </si>
  <si>
    <t xml:space="preserve">   Legal &amp; Conveyancing</t>
  </si>
  <si>
    <t>Lump sum</t>
  </si>
  <si>
    <t>Land purchase, franchise agreement, lender docs</t>
  </si>
  <si>
    <t xml:space="preserve">   Town Planning &amp; EIA</t>
  </si>
  <si>
    <t>Planning application, EIA screening &amp; EIS</t>
  </si>
  <si>
    <t xml:space="preserve">   Geotechnical Investigation</t>
  </si>
  <si>
    <t>4 boreholes + report</t>
  </si>
  <si>
    <t>BBD 25-35k; per feasibility study estimate</t>
  </si>
  <si>
    <t xml:space="preserve">   Topographic &amp; Boundary Survey</t>
  </si>
  <si>
    <t>Licensed surveyor to confirm net plot area</t>
  </si>
  <si>
    <t xml:space="preserve">   Finance &amp; Loan Arrangement Fees</t>
  </si>
  <si>
    <t>~1% of debt</t>
  </si>
  <si>
    <t>Senior + mezzanine arrangement; Eastdil/lender</t>
  </si>
  <si>
    <t xml:space="preserve">   Pre-Opening Marketing &amp; Sales</t>
  </si>
  <si>
    <t>Brand launch, digital, OTA setup, PR</t>
  </si>
  <si>
    <t xml:space="preserve">   Miscellaneous / Contingency</t>
  </si>
  <si>
    <t>Residual</t>
  </si>
  <si>
    <t>Balances total soft costs to $2,600,000</t>
  </si>
  <si>
    <t>TOTAL SOFT COSTS</t>
  </si>
  <si>
    <t>REVENUE ASSUMPTIONS</t>
  </si>
  <si>
    <t>Year 1</t>
  </si>
  <si>
    <t>Year 2</t>
  </si>
  <si>
    <t>Year 3</t>
  </si>
  <si>
    <t>Year 4</t>
  </si>
  <si>
    <t>Year 5</t>
  </si>
  <si>
    <t>YOTEL (100 Rooms)</t>
  </si>
  <si>
    <t xml:space="preserve">   ADR (USD)</t>
  </si>
  <si>
    <t xml:space="preserve">   Occupancy %</t>
  </si>
  <si>
    <t xml:space="preserve">   Available Room Nights</t>
  </si>
  <si>
    <t xml:space="preserve">   Occupied Room Nights</t>
  </si>
  <si>
    <t>YOTELPAD (30 Units)</t>
  </si>
  <si>
    <t>OTHER REVENUE (per occupied room/night)</t>
  </si>
  <si>
    <t xml:space="preserve">   F&amp;B Revenue per Occupied Room (USD)</t>
  </si>
  <si>
    <t xml:space="preserve">   Other Revenue per Occupied Room (USD)</t>
  </si>
  <si>
    <t xml:space="preserve">   Rooms Expense % of Rooms Revenue</t>
  </si>
  <si>
    <t xml:space="preserve">   F&amp;B Expense % of F&amp;B Revenue</t>
  </si>
  <si>
    <t xml:space="preserve">   Staff Costs % of Total Revenue </t>
  </si>
  <si>
    <t xml:space="preserve">   Sales &amp; Marketing % of Total Revenue</t>
  </si>
  <si>
    <t xml:space="preserve">   OTA Commissions % of Total Revenue </t>
  </si>
  <si>
    <t xml:space="preserve">   G&amp;A — Fixed Annual (USD)</t>
  </si>
  <si>
    <t>Reduced from $950,000 — 130-key select-service hotel with modular build requires lower G&amp;A. Escalates 3% p.a.</t>
  </si>
  <si>
    <t xml:space="preserve">   POM &amp; Utilities % of Total Revenue</t>
  </si>
  <si>
    <t>Reduced from 6% — modular prefab construction significantly lowers ongoing property maintenance. New-build efficiency.</t>
  </si>
  <si>
    <t>YOTEL FEE STRUCTURE  (from Phil / YOTEL CEO call)</t>
  </si>
  <si>
    <t xml:space="preserve">   YOTEL Base Management Fee % of Total Revenue</t>
  </si>
  <si>
    <t>Standard hotel management fee</t>
  </si>
  <si>
    <t xml:space="preserve">   YOTEL Royalty / Brand Fee % of Total Revenue</t>
  </si>
  <si>
    <t xml:space="preserve"> confirmed ~13% total incl. system &amp; tech fees</t>
  </si>
  <si>
    <t xml:space="preserve">   YOTEL System &amp; Technology Fee % of Total Revenue</t>
  </si>
  <si>
    <t>Tech stack, PMS, distribution platform</t>
  </si>
  <si>
    <t xml:space="preserve">   YOTEL F&amp;B Fee % of F&amp;B Revenue</t>
  </si>
  <si>
    <t>1-2% depending on F&amp;B scope; using 1.5%</t>
  </si>
  <si>
    <t xml:space="preserve">   TOTAL YOTEL FEES (% of Total Revenue)</t>
  </si>
  <si>
    <t>BELOW-GOP CHARGES</t>
  </si>
  <si>
    <t xml:space="preserve">   FF&amp;R Reserve % of Total Revenue</t>
  </si>
  <si>
    <t xml:space="preserve">   Insurance &amp; Taxes — Fixed Annual (USD)</t>
  </si>
  <si>
    <t>FINANCING STRUCTURE</t>
  </si>
  <si>
    <t xml:space="preserve">   Senior Debt (USD)</t>
  </si>
  <si>
    <t>6.5% p.a. interest-only</t>
  </si>
  <si>
    <t xml:space="preserve">   Mezzanine Debt (USD)</t>
  </si>
  <si>
    <t xml:space="preserve">   Equity (USD)</t>
  </si>
  <si>
    <t>Coruscant Developments / LP equity</t>
  </si>
  <si>
    <t xml:space="preserve">   Total Capital (USD)</t>
  </si>
  <si>
    <t>YOTEL + YOTELPAD BARBADOS  |  10-YEAR OPERATING PROFORMA  (USD)</t>
  </si>
  <si>
    <t>All figures in USD. Blue = Assumptions sheet input. Black = formula. Year 1 = first full operating year from Q4 2027 opening.</t>
  </si>
  <si>
    <t>Line Item</t>
  </si>
  <si>
    <t>Year 6</t>
  </si>
  <si>
    <t>Year 7</t>
  </si>
  <si>
    <t>Year 8</t>
  </si>
  <si>
    <t>Year 9</t>
  </si>
  <si>
    <t>Year 10</t>
  </si>
  <si>
    <t>REVENUE</t>
  </si>
  <si>
    <t xml:space="preserve">   YOTEL Rooms Revenue</t>
  </si>
  <si>
    <t xml:space="preserve">   YOTELPAD Rooms Revenue</t>
  </si>
  <si>
    <t xml:space="preserve">   Total Rooms Revenue</t>
  </si>
  <si>
    <t xml:space="preserve">   Combined Occupied Nights (YOTEL + YOTELPAD)</t>
  </si>
  <si>
    <t xml:space="preserve">   F&amp;B Revenue</t>
  </si>
  <si>
    <t xml:space="preserve">   Other Revenue (Podcast, Gym, Sim  — 0% YOTEL fee)</t>
  </si>
  <si>
    <t>TOTAL REVENUE</t>
  </si>
  <si>
    <t>OPERATING EXPENSES</t>
  </si>
  <si>
    <t xml:space="preserve">   Rooms Expense (18% of Rooms Revenue)</t>
  </si>
  <si>
    <t xml:space="preserve">   F&amp;B Expense (60% of F&amp;B Revenue)</t>
  </si>
  <si>
    <t xml:space="preserve">   Staff Costs (18% of Total Revenue</t>
  </si>
  <si>
    <t xml:space="preserve">   OTA Commissions (5% of Total Revenue </t>
  </si>
  <si>
    <t xml:space="preserve">   Sales &amp; Marketing (3% of Total Revenue)</t>
  </si>
  <si>
    <t xml:space="preserve">   G&amp;A — Fixed (escalating 3% p.a.)</t>
  </si>
  <si>
    <t xml:space="preserve">   POM &amp; Utilities (5% of Total Revenue)</t>
  </si>
  <si>
    <t xml:space="preserve">   YOTEL Base Management Fee (7.5% of Total Revenue)</t>
  </si>
  <si>
    <t xml:space="preserve">   YOTEL Royalty &amp; Brand Fee (5% of Total Revenue)</t>
  </si>
  <si>
    <t xml:space="preserve">   YOTEL System &amp; Technology Fee (3% of Total Revenue)</t>
  </si>
  <si>
    <t xml:space="preserve">   YOTEL F&amp;B Fee (1.5% of F&amp;B Revenue )</t>
  </si>
  <si>
    <t>TOTAL OPERATING EXPENSES</t>
  </si>
  <si>
    <t>GROSS OPERATING PROFIT (GOP)</t>
  </si>
  <si>
    <t xml:space="preserve">   GOP Margin %</t>
  </si>
  <si>
    <t xml:space="preserve">   FF&amp;R Reserve (3% of Total Revenue)</t>
  </si>
  <si>
    <t xml:space="preserve">   Insurance &amp; Taxes — Fixed (escalating 3% p.a.)</t>
  </si>
  <si>
    <t>NET OPERATING INCOME (NOI)</t>
  </si>
  <si>
    <t xml:space="preserve">   NOI Margin %</t>
  </si>
  <si>
    <t>DEBT SERVICE</t>
  </si>
  <si>
    <t xml:space="preserve">   Senior Debt Interest (6.5% on $20M — interest only)</t>
  </si>
  <si>
    <t xml:space="preserve">   Mezzanine Interest (11% PIK on $5M)</t>
  </si>
  <si>
    <t xml:space="preserve">   Total Debt Service</t>
  </si>
  <si>
    <t>CASH FLOW BEFORE TAX (NOI less Debt Service)</t>
  </si>
  <si>
    <t xml:space="preserve">   DSCR (NOI / Debt Service)</t>
  </si>
  <si>
    <t>YOTEL + YOTELPAD BARBADOS  |  RETURNS ANALYSIS  (USD)</t>
  </si>
  <si>
    <t>All figures in USD. Sources: 10-Year Proforma sheet.</t>
  </si>
  <si>
    <t>CAPITAL STRUCTURE</t>
  </si>
  <si>
    <t xml:space="preserve">   Senior Interest Rate</t>
  </si>
  <si>
    <t xml:space="preserve">   Mezzanine Rate (PIK)</t>
  </si>
  <si>
    <t xml:space="preserve">   LTV Ratio (Senior / Total Cost)</t>
  </si>
  <si>
    <t>KEY YEAR METRICS (from 10-Year Proforma)</t>
  </si>
  <si>
    <t>Metric</t>
  </si>
  <si>
    <t xml:space="preserve">   Total Revenue</t>
  </si>
  <si>
    <t xml:space="preserve">   GOP</t>
  </si>
  <si>
    <t xml:space="preserve">   NOI (Proforma)</t>
  </si>
  <si>
    <t xml:space="preserve">   Cash Flow Before Tax</t>
  </si>
  <si>
    <t xml:space="preserve">   DSCR</t>
  </si>
  <si>
    <t>EXIT ANALYSIS — STABILISED YEAR 5 (from opening Q4 2027)</t>
  </si>
  <si>
    <t xml:space="preserve">   Exit Cap Rate</t>
  </si>
  <si>
    <t xml:space="preserve">   Stabilised Year 5 NOI (per Treasury Model)</t>
  </si>
  <si>
    <t xml:space="preserve">   Gross Property Value at Exit (Stabilised NOI / Cap Rate)</t>
  </si>
  <si>
    <t xml:space="preserve">   Less: Outstanding Senior Debt</t>
  </si>
  <si>
    <t xml:space="preserve">   Less: Outstanding Mezzanine Debt (PIK accrued)</t>
  </si>
  <si>
    <t>Note: PIK compounds; negotiate repayment terms with lender</t>
  </si>
  <si>
    <t xml:space="preserve">   Net Sale Proceeds to Equity</t>
  </si>
  <si>
    <t>RETURNS SUMMARY</t>
  </si>
  <si>
    <t xml:space="preserve">   Initial Equity Investment (USD)</t>
  </si>
  <si>
    <t xml:space="preserve">   Year 10 Net Sale Proceeds</t>
  </si>
  <si>
    <t xml:space="preserve">   Equity Multiple (Net Proceeds / Initial Equity)</t>
  </si>
  <si>
    <t xml:space="preserve">   Year 5 Cash Flow Yield on Equity</t>
  </si>
  <si>
    <t xml:space="preserve">   Levered IRR (Target Range)</t>
  </si>
  <si>
    <t>17-21%</t>
  </si>
  <si>
    <t>Confirmed range per investment materials; verify with IRR() once cash flows finalised</t>
  </si>
  <si>
    <t>NOI SENSITIVITY  —  Year 3 Stabilised  (Occupancy vs ADR)</t>
  </si>
  <si>
    <t>ADR / Occ %</t>
  </si>
  <si>
    <t>65% Occ</t>
  </si>
  <si>
    <t>70% Occ</t>
  </si>
  <si>
    <t>75% Occ</t>
  </si>
  <si>
    <t>80% Occ</t>
  </si>
  <si>
    <t>85% Occ</t>
  </si>
  <si>
    <t>ADR $165</t>
  </si>
  <si>
    <t>ADR $180</t>
  </si>
  <si>
    <t>ADR $195</t>
  </si>
  <si>
    <t>ADR $210</t>
  </si>
  <si>
    <t>ADR $225</t>
  </si>
  <si>
    <t>COLOUR LEGEND</t>
  </si>
  <si>
    <t xml:space="preserve">  Blue Text</t>
  </si>
  <si>
    <t>Hardcoded input — change for scenarios</t>
  </si>
  <si>
    <t xml:space="preserve">  Black Text</t>
  </si>
  <si>
    <t>Formula / calculated value</t>
  </si>
  <si>
    <t xml:space="preserve">  Green Text</t>
  </si>
  <si>
    <t>Cross-sheet link from Assumptions or Proforma</t>
  </si>
  <si>
    <t>Note: Exit valuation uses stabilised Year 5 NOI of $3,864,055 per Magnus Treasury Model.</t>
  </si>
  <si>
    <t>Assumption requiring attention or review</t>
  </si>
  <si>
    <t>Proforma NOI reflects conservative operational ramp. Stabilised NOI assumes mature occupancy and optimised cost base.</t>
  </si>
  <si>
    <t>Sub-total or total row</t>
  </si>
  <si>
    <t>SOFT COST PHASING  |  Architect Fee Drawdown &amp; Professional Fees  (USD)</t>
  </si>
  <si>
    <t>Based on architect fee schedule (5.5% of BD$58.5M = BD$3,217,500 = USD$1,608,750 excl. VAT 17.5%)</t>
  </si>
  <si>
    <t>ARCHITECT FEE DRAWDOWN  (per Stage Schedule)</t>
  </si>
  <si>
    <t>Stage</t>
  </si>
  <si>
    <t>% of Fee</t>
  </si>
  <si>
    <t>BD$ Amount</t>
  </si>
  <si>
    <t>VAT 17.5% (BD$)</t>
  </si>
  <si>
    <t>When Due</t>
  </si>
  <si>
    <t>Status</t>
  </si>
  <si>
    <t>Retainer / Stage 1a — Preliminary sketch design</t>
  </si>
  <si>
    <t>At inception / contract signing</t>
  </si>
  <si>
    <t>Due now</t>
  </si>
  <si>
    <t>Stage 1b — Preliminary finalised</t>
  </si>
  <si>
    <t>End of Stage 1</t>
  </si>
  <si>
    <t>Pending</t>
  </si>
  <si>
    <t>Stage 2 — Design Development + Planning submission</t>
  </si>
  <si>
    <t>End of Stage 2</t>
  </si>
  <si>
    <t>Stage 3 — Construction Drawings / IFC</t>
  </si>
  <si>
    <t>End of Stage 3</t>
  </si>
  <si>
    <t>Stage 4 — Contract Administration (site inspections)</t>
  </si>
  <si>
    <t>During &amp; end of construction</t>
  </si>
  <si>
    <t>TOTAL ARCHITECT FEE (excl. VAT)</t>
  </si>
  <si>
    <t>VAT recoverable as input tax</t>
  </si>
  <si>
    <t>FULL PROFESSIONAL FEES SUMMARY  (USD)</t>
  </si>
  <si>
    <t>Consultant</t>
  </si>
  <si>
    <t>USD Fee</t>
  </si>
  <si>
    <t>Payment Trigger</t>
  </si>
  <si>
    <t>Architect (5.5% of construction cost)</t>
  </si>
  <si>
    <t>5.5% x BD$58.5M / 2</t>
  </si>
  <si>
    <t>Stage drawdowns per above</t>
  </si>
  <si>
    <t>Structural &amp; MEP Engineers</t>
  </si>
  <si>
    <t>Design milestones</t>
  </si>
  <si>
    <t>YOTEL Technical Services (TSA)</t>
  </si>
  <si>
    <t>Brand review gates</t>
  </si>
  <si>
    <t>Project Manager / Owners Rep</t>
  </si>
  <si>
    <t>Monthly during construction</t>
  </si>
  <si>
    <t>Quantity Surveyor</t>
  </si>
  <si>
    <t>Ongoing; reporting monthly</t>
  </si>
  <si>
    <t>Legal &amp; Conveyancing</t>
  </si>
  <si>
    <t>Land close + franchise sign</t>
  </si>
  <si>
    <t>Town Planning &amp; EIA</t>
  </si>
  <si>
    <t>Pre-planning submission</t>
  </si>
  <si>
    <t>Geotechnical Investigation</t>
  </si>
  <si>
    <t>4 boreholes per feasibility</t>
  </si>
  <si>
    <t>Month 1 — before design</t>
  </si>
  <si>
    <t>Topographic &amp; Boundary Survey</t>
  </si>
  <si>
    <t>Immediate — open item</t>
  </si>
  <si>
    <t>Finance / Loan Arrangement Fees</t>
  </si>
  <si>
    <t>~1% of $25M debt</t>
  </si>
  <si>
    <t>At financial close</t>
  </si>
  <si>
    <t>Pre-Opening Marketing</t>
  </si>
  <si>
    <t>3-6 months before opening</t>
  </si>
  <si>
    <t>TOTAL PROFESSIONAL FEES</t>
  </si>
  <si>
    <t xml:space="preserve">OPERATING ASSUMPTIONS </t>
  </si>
  <si>
    <t>select-service F&amp;B with limited menu; industry norm 55-65%</t>
  </si>
  <si>
    <t xml:space="preserve"> modular construction reduces on-site labour; YOTEL SmartCabin model minimises housekeeping staff. Industry benchmark 16-20% for select-service.</t>
  </si>
  <si>
    <t xml:space="preserve"> post ramp-up Year 3+ assumes lower direct marketing spend. OTA channel covers acquisition.</t>
  </si>
  <si>
    <t xml:space="preserve"> new-build hotel with modular construction requires lower near-term reserve. Industry range 3-5%.</t>
  </si>
  <si>
    <t>Barbados property tax and commercial insurance for 130-key select-service hotel. ~$3,650/key. Escalates 3% p.a.</t>
  </si>
  <si>
    <t xml:space="preserve">11% PIK;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</si>
</sst>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%;\(0.0%\);\-"/>
    <numFmt numFmtId="166" formatCode="#,##0;\(#,##0\);\-"/>
    <numFmt numFmtId="167" formatCode="0.00\x;\(0.00&quot;x)&quot;;\-"/>
    <numFmt numFmtId="168" formatCode="0.0\x;\(0.0&quot;x)&quot;;\-"/>
    <numFmt numFmtId="169" formatCode="\$#,##0;&quot;($&quot;#,##0\)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8000"/>
      <name val="Arial"/>
      <family val="2"/>
      <charset val="1"/>
    </font>
    <font>
      <b/>
      <sz val="9"/>
      <color rgb="FFFFFF00"/>
      <name val="Arial"/>
      <family val="2"/>
      <charset val="1"/>
    </font>
    <font>
      <b/>
      <sz val="9"/>
      <color rgb="FFFCE4D6"/>
      <name val="Arial"/>
      <family val="2"/>
      <charset val="1"/>
    </font>
    <font>
      <b/>
      <sz val="10"/>
      <color rgb="FFC00000"/>
      <name val="Arial"/>
      <family val="2"/>
      <charset val="1"/>
    </font>
    <font>
      <sz val="10"/>
      <color rgb="FF59595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7" fillId="5" borderId="0" xfId="0" applyNumberFormat="1" applyFont="1" applyFill="1" applyAlignment="1">
      <alignment horizontal="right" vertical="center"/>
    </xf>
    <xf numFmtId="0" fontId="8" fillId="0" borderId="0" xfId="0" applyFont="1"/>
    <xf numFmtId="0" fontId="2" fillId="3" borderId="0" xfId="0" applyFont="1" applyFill="1" applyAlignment="1">
      <alignment horizontal="center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0" fontId="2" fillId="3" borderId="0" xfId="0" applyFont="1" applyFill="1"/>
    <xf numFmtId="164" fontId="3" fillId="6" borderId="0" xfId="0" applyNumberFormat="1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4" borderId="0" xfId="0" applyFont="1" applyFill="1"/>
    <xf numFmtId="9" fontId="5" fillId="4" borderId="0" xfId="0" applyNumberFormat="1" applyFont="1" applyFill="1" applyAlignment="1">
      <alignment horizontal="right"/>
    </xf>
    <xf numFmtId="169" fontId="5" fillId="4" borderId="0" xfId="0" applyNumberFormat="1" applyFont="1" applyFill="1" applyAlignment="1">
      <alignment horizontal="right"/>
    </xf>
    <xf numFmtId="0" fontId="16" fillId="0" borderId="0" xfId="0" applyFont="1"/>
    <xf numFmtId="0" fontId="3" fillId="0" borderId="0" xfId="0" applyFont="1"/>
    <xf numFmtId="9" fontId="5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0" fontId="17" fillId="0" borderId="0" xfId="0" applyFont="1"/>
    <xf numFmtId="0" fontId="4" fillId="4" borderId="0" xfId="0" applyFont="1" applyFill="1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zoomScaleNormal="100" workbookViewId="0">
      <selection activeCell="K14" sqref="K14"/>
    </sheetView>
  </sheetViews>
  <sheetFormatPr baseColWidth="10" defaultColWidth="8.83203125" defaultRowHeight="15" customHeight="1" x14ac:dyDescent="0.2"/>
  <cols>
    <col min="1" max="1" width="47.1640625" customWidth="1"/>
    <col min="2" max="2" width="36.33203125" customWidth="1"/>
    <col min="3" max="3" width="37" customWidth="1"/>
    <col min="4" max="4" width="50.83203125" customWidth="1"/>
    <col min="5" max="5" width="22" customWidth="1"/>
    <col min="6" max="6" width="37.1640625" customWidth="1"/>
    <col min="7" max="7" width="27.6640625" customWidth="1"/>
  </cols>
  <sheetData>
    <row r="1" spans="1:7" ht="30" customHeight="1" x14ac:dyDescent="0.2">
      <c r="A1" s="53" t="s">
        <v>0</v>
      </c>
      <c r="B1" s="53"/>
      <c r="C1" s="53"/>
      <c r="D1" s="53"/>
      <c r="E1" s="53"/>
      <c r="F1" s="53"/>
      <c r="G1" s="53"/>
    </row>
    <row r="2" spans="1:7" ht="21.75" customHeight="1" x14ac:dyDescent="0.2">
      <c r="A2" s="54" t="s">
        <v>1</v>
      </c>
      <c r="B2" s="54"/>
      <c r="C2" s="54"/>
      <c r="D2" s="54"/>
      <c r="E2" s="54"/>
      <c r="F2" s="54"/>
      <c r="G2" s="54"/>
    </row>
    <row r="4" spans="1:7" ht="19.5" customHeight="1" x14ac:dyDescent="0.2">
      <c r="A4" s="52" t="s">
        <v>2</v>
      </c>
      <c r="B4" s="52"/>
      <c r="C4" s="52"/>
      <c r="D4" s="52"/>
      <c r="E4" s="52"/>
      <c r="F4" s="52"/>
      <c r="G4" s="52"/>
    </row>
    <row r="5" spans="1:7" ht="15" customHeight="1" x14ac:dyDescent="0.2">
      <c r="A5" s="2" t="s">
        <v>3</v>
      </c>
      <c r="B5" s="3">
        <v>130</v>
      </c>
      <c r="C5" s="4" t="s">
        <v>4</v>
      </c>
    </row>
    <row r="6" spans="1:7" ht="15" customHeight="1" x14ac:dyDescent="0.2">
      <c r="A6" s="2" t="s">
        <v>5</v>
      </c>
      <c r="B6" s="5">
        <v>100</v>
      </c>
      <c r="C6" s="4" t="s">
        <v>6</v>
      </c>
    </row>
    <row r="7" spans="1:7" ht="15" customHeight="1" x14ac:dyDescent="0.2">
      <c r="A7" s="2" t="s">
        <v>7</v>
      </c>
      <c r="B7" s="5">
        <v>30</v>
      </c>
      <c r="C7" s="4" t="s">
        <v>8</v>
      </c>
    </row>
    <row r="8" spans="1:7" ht="15" customHeight="1" x14ac:dyDescent="0.2">
      <c r="A8" s="2" t="s">
        <v>9</v>
      </c>
      <c r="B8" s="6">
        <v>32500000</v>
      </c>
    </row>
    <row r="9" spans="1:7" ht="15" customHeight="1" x14ac:dyDescent="0.2">
      <c r="A9" s="2" t="s">
        <v>10</v>
      </c>
      <c r="B9" s="6">
        <v>250000</v>
      </c>
    </row>
    <row r="10" spans="1:7" ht="15" customHeight="1" x14ac:dyDescent="0.2">
      <c r="A10" s="2" t="s">
        <v>11</v>
      </c>
      <c r="B10" s="7" t="s">
        <v>12</v>
      </c>
      <c r="C10" s="4" t="s">
        <v>13</v>
      </c>
    </row>
    <row r="11" spans="1:7" ht="15" customHeight="1" x14ac:dyDescent="0.2">
      <c r="A11" s="2" t="s">
        <v>14</v>
      </c>
      <c r="B11" s="8">
        <v>2</v>
      </c>
      <c r="C11" s="4" t="s">
        <v>15</v>
      </c>
    </row>
    <row r="13" spans="1:7" ht="19.5" customHeight="1" x14ac:dyDescent="0.2">
      <c r="A13" s="52" t="s">
        <v>16</v>
      </c>
      <c r="B13" s="52"/>
      <c r="C13" s="52"/>
      <c r="D13" s="52"/>
      <c r="E13" s="52"/>
      <c r="F13" s="52"/>
      <c r="G13" s="52"/>
    </row>
    <row r="14" spans="1:7" ht="18" customHeight="1" x14ac:dyDescent="0.2">
      <c r="A14" s="9" t="s">
        <v>17</v>
      </c>
      <c r="B14" s="9" t="s">
        <v>18</v>
      </c>
      <c r="C14" s="9" t="s">
        <v>19</v>
      </c>
      <c r="D14" s="9" t="s">
        <v>20</v>
      </c>
    </row>
    <row r="15" spans="1:7" ht="15" customHeight="1" x14ac:dyDescent="0.2">
      <c r="A15" s="2" t="s">
        <v>21</v>
      </c>
      <c r="B15" s="10">
        <v>3500000</v>
      </c>
      <c r="C15" s="11">
        <f>B15/B22</f>
        <v>0.1076923076923077</v>
      </c>
      <c r="D15" s="4" t="s">
        <v>22</v>
      </c>
    </row>
    <row r="16" spans="1:7" ht="15" customHeight="1" x14ac:dyDescent="0.2">
      <c r="A16" s="12" t="s">
        <v>23</v>
      </c>
      <c r="B16" s="13">
        <v>2200000</v>
      </c>
      <c r="C16" s="11">
        <f>B16/B22</f>
        <v>6.7692307692307691E-2</v>
      </c>
      <c r="D16" s="4" t="s">
        <v>24</v>
      </c>
    </row>
    <row r="17" spans="1:7" ht="15" customHeight="1" x14ac:dyDescent="0.2">
      <c r="A17" s="2" t="s">
        <v>25</v>
      </c>
      <c r="B17" s="10">
        <v>14300000</v>
      </c>
      <c r="C17" s="11">
        <f>B17/B22</f>
        <v>0.44</v>
      </c>
      <c r="D17" s="4" t="s">
        <v>26</v>
      </c>
    </row>
    <row r="18" spans="1:7" ht="15" customHeight="1" x14ac:dyDescent="0.2">
      <c r="A18" s="12" t="s">
        <v>27</v>
      </c>
      <c r="B18" s="13">
        <v>4550000</v>
      </c>
      <c r="C18" s="11">
        <f>B18/B22</f>
        <v>0.14000000000000001</v>
      </c>
      <c r="D18" s="4" t="s">
        <v>28</v>
      </c>
    </row>
    <row r="19" spans="1:7" ht="15" customHeight="1" x14ac:dyDescent="0.2">
      <c r="A19" s="2" t="s">
        <v>29</v>
      </c>
      <c r="B19" s="10">
        <v>3250000</v>
      </c>
      <c r="C19" s="11">
        <f>B19/B22</f>
        <v>0.1</v>
      </c>
      <c r="D19" s="4" t="s">
        <v>30</v>
      </c>
    </row>
    <row r="20" spans="1:7" ht="15" customHeight="1" x14ac:dyDescent="0.2">
      <c r="A20" s="12" t="s">
        <v>31</v>
      </c>
      <c r="B20" s="13">
        <v>2600000</v>
      </c>
      <c r="C20" s="11">
        <f>B20/B22</f>
        <v>0.08</v>
      </c>
      <c r="D20" s="4" t="s">
        <v>32</v>
      </c>
    </row>
    <row r="21" spans="1:7" ht="15" customHeight="1" x14ac:dyDescent="0.2">
      <c r="A21" s="2" t="s">
        <v>33</v>
      </c>
      <c r="B21" s="10">
        <v>2100000</v>
      </c>
      <c r="C21" s="11">
        <f>B21/B22</f>
        <v>6.4615384615384616E-2</v>
      </c>
      <c r="D21" s="4" t="s">
        <v>34</v>
      </c>
    </row>
    <row r="22" spans="1:7" ht="15" customHeight="1" x14ac:dyDescent="0.2">
      <c r="A22" s="14" t="s">
        <v>35</v>
      </c>
      <c r="B22" s="15">
        <f>SUM(B15:B21)</f>
        <v>32500000</v>
      </c>
      <c r="C22" s="16" t="s">
        <v>36</v>
      </c>
    </row>
    <row r="24" spans="1:7" ht="19.5" customHeight="1" x14ac:dyDescent="0.2">
      <c r="A24" s="52" t="s">
        <v>37</v>
      </c>
      <c r="B24" s="52"/>
      <c r="C24" s="52"/>
      <c r="D24" s="52"/>
      <c r="E24" s="52"/>
      <c r="F24" s="52"/>
      <c r="G24" s="52"/>
    </row>
    <row r="25" spans="1:7" ht="18" customHeight="1" x14ac:dyDescent="0.2">
      <c r="A25" s="9" t="s">
        <v>38</v>
      </c>
      <c r="B25" s="9" t="s">
        <v>39</v>
      </c>
      <c r="C25" s="9" t="s">
        <v>18</v>
      </c>
      <c r="D25" s="9" t="s">
        <v>40</v>
      </c>
      <c r="E25" s="9" t="s">
        <v>20</v>
      </c>
    </row>
    <row r="26" spans="1:7" ht="15" customHeight="1" x14ac:dyDescent="0.2">
      <c r="A26" s="12" t="s">
        <v>41</v>
      </c>
      <c r="B26" s="4" t="s">
        <v>42</v>
      </c>
      <c r="C26" s="13">
        <v>1608750</v>
      </c>
      <c r="D26" s="11">
        <f>C26/C38</f>
        <v>0.50109017287026947</v>
      </c>
      <c r="E26" s="4" t="s">
        <v>43</v>
      </c>
    </row>
    <row r="27" spans="1:7" ht="15" customHeight="1" x14ac:dyDescent="0.2">
      <c r="A27" s="2" t="s">
        <v>44</v>
      </c>
      <c r="B27" s="4" t="s">
        <v>45</v>
      </c>
      <c r="C27" s="10">
        <v>450000</v>
      </c>
      <c r="D27" s="11">
        <f>C27/C38</f>
        <v>0.14016508332035507</v>
      </c>
      <c r="E27" s="4" t="s">
        <v>46</v>
      </c>
    </row>
    <row r="28" spans="1:7" ht="15" customHeight="1" x14ac:dyDescent="0.2">
      <c r="A28" s="12" t="s">
        <v>47</v>
      </c>
      <c r="B28" s="4" t="s">
        <v>48</v>
      </c>
      <c r="C28" s="13">
        <v>150000</v>
      </c>
      <c r="D28" s="11">
        <f>C28/C38</f>
        <v>4.672169444011836E-2</v>
      </c>
      <c r="E28" s="4" t="s">
        <v>49</v>
      </c>
    </row>
    <row r="29" spans="1:7" ht="15" customHeight="1" x14ac:dyDescent="0.2">
      <c r="A29" s="2" t="s">
        <v>50</v>
      </c>
      <c r="B29" s="4" t="s">
        <v>51</v>
      </c>
      <c r="C29" s="10">
        <v>380000</v>
      </c>
      <c r="D29" s="11">
        <f>C29/C38</f>
        <v>0.11836162591496652</v>
      </c>
      <c r="E29" s="4" t="s">
        <v>52</v>
      </c>
    </row>
    <row r="30" spans="1:7" ht="15" customHeight="1" x14ac:dyDescent="0.2">
      <c r="A30" s="12" t="s">
        <v>53</v>
      </c>
      <c r="B30" s="4" t="s">
        <v>54</v>
      </c>
      <c r="C30" s="13">
        <v>95000</v>
      </c>
      <c r="D30" s="11">
        <f>C30/C38</f>
        <v>2.9590406478741629E-2</v>
      </c>
      <c r="E30" s="4" t="s">
        <v>55</v>
      </c>
    </row>
    <row r="31" spans="1:7" ht="15" customHeight="1" x14ac:dyDescent="0.2">
      <c r="A31" s="2" t="s">
        <v>56</v>
      </c>
      <c r="B31" s="4" t="s">
        <v>57</v>
      </c>
      <c r="C31" s="10">
        <v>80000</v>
      </c>
      <c r="D31" s="11">
        <f>C31/C38</f>
        <v>2.4918237034729791E-2</v>
      </c>
      <c r="E31" s="4" t="s">
        <v>58</v>
      </c>
    </row>
    <row r="32" spans="1:7" ht="15" customHeight="1" x14ac:dyDescent="0.2">
      <c r="A32" s="12" t="s">
        <v>59</v>
      </c>
      <c r="B32" s="4" t="s">
        <v>57</v>
      </c>
      <c r="C32" s="13">
        <v>60000</v>
      </c>
      <c r="D32" s="11">
        <f>C32/C38</f>
        <v>1.8688677776047345E-2</v>
      </c>
      <c r="E32" s="4" t="s">
        <v>60</v>
      </c>
    </row>
    <row r="33" spans="1:7" ht="15" customHeight="1" x14ac:dyDescent="0.2">
      <c r="A33" s="2" t="s">
        <v>61</v>
      </c>
      <c r="B33" s="4" t="s">
        <v>62</v>
      </c>
      <c r="C33" s="10">
        <v>17000</v>
      </c>
      <c r="D33" s="11">
        <f>C33/C38</f>
        <v>5.2951253698800809E-3</v>
      </c>
      <c r="E33" s="4" t="s">
        <v>63</v>
      </c>
    </row>
    <row r="34" spans="1:7" ht="15" customHeight="1" x14ac:dyDescent="0.2">
      <c r="A34" s="12" t="s">
        <v>64</v>
      </c>
      <c r="B34" s="4" t="s">
        <v>57</v>
      </c>
      <c r="C34" s="13">
        <v>10000</v>
      </c>
      <c r="D34" s="11">
        <f>C34/C38</f>
        <v>3.1147796293412239E-3</v>
      </c>
      <c r="E34" s="4" t="s">
        <v>65</v>
      </c>
    </row>
    <row r="35" spans="1:7" ht="15" customHeight="1" x14ac:dyDescent="0.2">
      <c r="A35" s="2" t="s">
        <v>66</v>
      </c>
      <c r="B35" s="4" t="s">
        <v>67</v>
      </c>
      <c r="C35" s="10">
        <v>250000</v>
      </c>
      <c r="D35" s="11">
        <f>C35/C38</f>
        <v>7.7869490733530597E-2</v>
      </c>
      <c r="E35" s="4" t="s">
        <v>68</v>
      </c>
    </row>
    <row r="36" spans="1:7" ht="15" customHeight="1" x14ac:dyDescent="0.2">
      <c r="A36" s="12" t="s">
        <v>69</v>
      </c>
      <c r="B36" s="4" t="s">
        <v>57</v>
      </c>
      <c r="C36" s="13">
        <v>150000</v>
      </c>
      <c r="D36" s="11">
        <f>C36/C38</f>
        <v>4.672169444011836E-2</v>
      </c>
      <c r="E36" s="4" t="s">
        <v>70</v>
      </c>
    </row>
    <row r="37" spans="1:7" ht="15" customHeight="1" x14ac:dyDescent="0.2">
      <c r="A37" s="2" t="s">
        <v>71</v>
      </c>
      <c r="B37" s="4" t="s">
        <v>72</v>
      </c>
      <c r="C37" s="10">
        <v>-40250</v>
      </c>
      <c r="D37" s="11">
        <f>C37/C38</f>
        <v>-1.2536988008098427E-2</v>
      </c>
      <c r="E37" s="4" t="s">
        <v>73</v>
      </c>
    </row>
    <row r="38" spans="1:7" ht="15" customHeight="1" x14ac:dyDescent="0.2">
      <c r="A38" s="14" t="s">
        <v>74</v>
      </c>
      <c r="C38" s="15">
        <f>SUM(C26:C37)</f>
        <v>3210500</v>
      </c>
    </row>
    <row r="40" spans="1:7" ht="19.5" customHeight="1" x14ac:dyDescent="0.2">
      <c r="A40" s="52" t="s">
        <v>75</v>
      </c>
      <c r="B40" s="52"/>
      <c r="C40" s="52"/>
      <c r="D40" s="52"/>
      <c r="E40" s="52"/>
      <c r="F40" s="52"/>
      <c r="G40" s="52"/>
    </row>
    <row r="41" spans="1:7" ht="15" customHeight="1" x14ac:dyDescent="0.2">
      <c r="A41" s="17"/>
      <c r="B41" s="17" t="s">
        <v>76</v>
      </c>
      <c r="C41" s="17" t="s">
        <v>77</v>
      </c>
      <c r="D41" s="17" t="s">
        <v>78</v>
      </c>
      <c r="E41" s="17" t="s">
        <v>79</v>
      </c>
      <c r="F41" s="17" t="s">
        <v>80</v>
      </c>
    </row>
    <row r="42" spans="1:7" ht="15" customHeight="1" x14ac:dyDescent="0.2">
      <c r="A42" s="52" t="s">
        <v>81</v>
      </c>
      <c r="B42" s="52"/>
      <c r="C42" s="52"/>
      <c r="D42" s="52"/>
      <c r="E42" s="52"/>
      <c r="F42" s="52"/>
      <c r="G42" s="52"/>
    </row>
    <row r="43" spans="1:7" ht="15" customHeight="1" x14ac:dyDescent="0.2">
      <c r="A43" s="2" t="s">
        <v>82</v>
      </c>
      <c r="B43" s="10">
        <v>155</v>
      </c>
      <c r="C43" s="10">
        <v>185</v>
      </c>
      <c r="D43" s="10">
        <v>195</v>
      </c>
      <c r="E43" s="10">
        <v>203</v>
      </c>
      <c r="F43" s="10">
        <v>211</v>
      </c>
    </row>
    <row r="44" spans="1:7" ht="15" customHeight="1" x14ac:dyDescent="0.2">
      <c r="A44" s="2" t="s">
        <v>83</v>
      </c>
      <c r="B44" s="18">
        <v>0.55000000000000004</v>
      </c>
      <c r="C44" s="18">
        <v>0.72</v>
      </c>
      <c r="D44" s="18">
        <v>0.78</v>
      </c>
      <c r="E44" s="18">
        <v>0.78</v>
      </c>
      <c r="F44" s="18">
        <v>0.79</v>
      </c>
    </row>
    <row r="45" spans="1:7" ht="15" customHeight="1" x14ac:dyDescent="0.2">
      <c r="A45" s="2" t="s">
        <v>84</v>
      </c>
      <c r="B45" s="19">
        <v>36500</v>
      </c>
      <c r="C45" s="19">
        <v>36500</v>
      </c>
      <c r="D45" s="19">
        <v>36500</v>
      </c>
      <c r="E45" s="19">
        <v>36500</v>
      </c>
      <c r="F45" s="19">
        <v>36500</v>
      </c>
    </row>
    <row r="46" spans="1:7" ht="15" customHeight="1" x14ac:dyDescent="0.2">
      <c r="A46" s="2" t="s">
        <v>85</v>
      </c>
      <c r="B46" s="20">
        <f>ROUND(B45*B44,0)</f>
        <v>20075</v>
      </c>
      <c r="C46" s="20">
        <f>ROUND(C45*C44,0)</f>
        <v>26280</v>
      </c>
      <c r="D46" s="20">
        <f>ROUND(D45*D44,0)</f>
        <v>28470</v>
      </c>
      <c r="E46" s="20">
        <f>ROUND(E45*E44,0)</f>
        <v>28470</v>
      </c>
      <c r="F46" s="20">
        <f>ROUND(F45*F44,0)</f>
        <v>28835</v>
      </c>
    </row>
    <row r="47" spans="1:7" ht="15" customHeight="1" x14ac:dyDescent="0.2">
      <c r="A47" s="52" t="s">
        <v>86</v>
      </c>
      <c r="B47" s="52"/>
      <c r="C47" s="52"/>
      <c r="D47" s="52"/>
      <c r="E47" s="52"/>
      <c r="F47" s="52"/>
      <c r="G47" s="52"/>
    </row>
    <row r="48" spans="1:7" ht="15" customHeight="1" x14ac:dyDescent="0.2">
      <c r="A48" s="2" t="s">
        <v>82</v>
      </c>
      <c r="B48" s="10">
        <v>220</v>
      </c>
      <c r="C48" s="10">
        <v>255</v>
      </c>
      <c r="D48" s="10">
        <v>270</v>
      </c>
      <c r="E48" s="10">
        <v>281</v>
      </c>
      <c r="F48" s="10">
        <v>292</v>
      </c>
    </row>
    <row r="49" spans="1:7" ht="15" customHeight="1" x14ac:dyDescent="0.2">
      <c r="A49" s="2" t="s">
        <v>83</v>
      </c>
      <c r="B49" s="18">
        <v>0.6</v>
      </c>
      <c r="C49" s="18">
        <v>0.72</v>
      </c>
      <c r="D49" s="18">
        <v>0.75</v>
      </c>
      <c r="E49" s="18">
        <v>0.75</v>
      </c>
      <c r="F49" s="18">
        <v>0.76</v>
      </c>
    </row>
    <row r="50" spans="1:7" ht="15" customHeight="1" x14ac:dyDescent="0.2">
      <c r="A50" s="2" t="s">
        <v>84</v>
      </c>
      <c r="B50" s="19">
        <v>10950</v>
      </c>
      <c r="C50" s="19">
        <v>10950</v>
      </c>
      <c r="D50" s="19">
        <v>10950</v>
      </c>
      <c r="E50" s="19">
        <v>10950</v>
      </c>
      <c r="F50" s="19">
        <v>10950</v>
      </c>
    </row>
    <row r="51" spans="1:7" ht="15" customHeight="1" x14ac:dyDescent="0.2">
      <c r="A51" s="2" t="s">
        <v>85</v>
      </c>
      <c r="B51" s="20">
        <f>ROUND(B50*B49,0)</f>
        <v>6570</v>
      </c>
      <c r="C51" s="20">
        <f>ROUND(C50*C49,0)</f>
        <v>7884</v>
      </c>
      <c r="D51" s="20">
        <f>ROUND(D50*D49,0)</f>
        <v>8213</v>
      </c>
      <c r="E51" s="20">
        <f>ROUND(E50*E49,0)</f>
        <v>8213</v>
      </c>
      <c r="F51" s="20">
        <f>ROUND(F50*F49,0)</f>
        <v>8322</v>
      </c>
    </row>
    <row r="52" spans="1:7" ht="15" customHeight="1" x14ac:dyDescent="0.2">
      <c r="A52" s="52" t="s">
        <v>87</v>
      </c>
      <c r="B52" s="52"/>
      <c r="C52" s="52"/>
      <c r="D52" s="52"/>
      <c r="E52" s="52"/>
      <c r="F52" s="52"/>
      <c r="G52" s="52"/>
    </row>
    <row r="53" spans="1:7" ht="15" customHeight="1" x14ac:dyDescent="0.2">
      <c r="A53" s="2" t="s">
        <v>88</v>
      </c>
      <c r="B53" s="10">
        <v>45</v>
      </c>
      <c r="C53" s="10">
        <v>45</v>
      </c>
      <c r="D53" s="10">
        <v>45</v>
      </c>
      <c r="E53" s="10">
        <v>45</v>
      </c>
      <c r="F53" s="10">
        <v>45</v>
      </c>
    </row>
    <row r="54" spans="1:7" ht="15" customHeight="1" x14ac:dyDescent="0.2">
      <c r="A54" s="2" t="s">
        <v>89</v>
      </c>
      <c r="B54" s="10">
        <v>12</v>
      </c>
      <c r="C54" s="10">
        <v>12</v>
      </c>
      <c r="D54" s="10">
        <v>12</v>
      </c>
      <c r="E54" s="10">
        <v>12</v>
      </c>
      <c r="F54" s="10">
        <v>12</v>
      </c>
    </row>
    <row r="56" spans="1:7" ht="19.5" customHeight="1" x14ac:dyDescent="0.2">
      <c r="A56" s="52" t="s">
        <v>265</v>
      </c>
      <c r="B56" s="52"/>
      <c r="C56" s="52"/>
      <c r="D56" s="52"/>
      <c r="E56" s="52"/>
      <c r="F56" s="52"/>
      <c r="G56" s="52"/>
    </row>
    <row r="57" spans="1:7" ht="15" customHeight="1" x14ac:dyDescent="0.2">
      <c r="A57" s="2" t="s">
        <v>90</v>
      </c>
      <c r="B57" s="18">
        <v>0.18</v>
      </c>
    </row>
    <row r="58" spans="1:7" ht="15" customHeight="1" x14ac:dyDescent="0.2">
      <c r="A58" s="2" t="s">
        <v>91</v>
      </c>
      <c r="B58" s="18">
        <v>0.6</v>
      </c>
      <c r="C58" t="s">
        <v>266</v>
      </c>
    </row>
    <row r="59" spans="1:7" ht="15" customHeight="1" x14ac:dyDescent="0.2">
      <c r="A59" s="2" t="s">
        <v>92</v>
      </c>
      <c r="B59" s="21">
        <v>0.18</v>
      </c>
      <c r="C59" t="s">
        <v>267</v>
      </c>
    </row>
    <row r="60" spans="1:7" ht="15" customHeight="1" x14ac:dyDescent="0.2">
      <c r="A60" s="2" t="s">
        <v>93</v>
      </c>
      <c r="B60" s="18">
        <v>0.03</v>
      </c>
      <c r="C60" t="s">
        <v>268</v>
      </c>
    </row>
    <row r="61" spans="1:7" ht="15" customHeight="1" x14ac:dyDescent="0.2">
      <c r="A61" s="2" t="s">
        <v>94</v>
      </c>
      <c r="B61" s="18">
        <v>0.05</v>
      </c>
    </row>
    <row r="62" spans="1:7" ht="15" customHeight="1" x14ac:dyDescent="0.2">
      <c r="A62" s="2" t="s">
        <v>95</v>
      </c>
      <c r="B62" s="10">
        <v>650000</v>
      </c>
      <c r="C62" t="s">
        <v>96</v>
      </c>
    </row>
    <row r="63" spans="1:7" ht="15" customHeight="1" x14ac:dyDescent="0.2">
      <c r="A63" s="2" t="s">
        <v>97</v>
      </c>
      <c r="B63" s="18">
        <v>0.05</v>
      </c>
      <c r="C63" t="s">
        <v>98</v>
      </c>
    </row>
    <row r="65" spans="1:7" ht="19.5" customHeight="1" x14ac:dyDescent="0.2">
      <c r="A65" s="52" t="s">
        <v>99</v>
      </c>
      <c r="B65" s="52"/>
      <c r="C65" s="52"/>
      <c r="D65" s="52"/>
      <c r="E65" s="52"/>
      <c r="F65" s="52"/>
      <c r="G65" s="52"/>
    </row>
    <row r="66" spans="1:7" ht="15" customHeight="1" x14ac:dyDescent="0.2">
      <c r="A66" s="2" t="s">
        <v>100</v>
      </c>
      <c r="B66" s="18">
        <v>7.4999999999999997E-2</v>
      </c>
      <c r="C66" s="4" t="s">
        <v>101</v>
      </c>
    </row>
    <row r="67" spans="1:7" ht="15" customHeight="1" x14ac:dyDescent="0.2">
      <c r="A67" s="2" t="s">
        <v>102</v>
      </c>
      <c r="B67" s="18">
        <v>0.05</v>
      </c>
      <c r="C67" s="4" t="s">
        <v>103</v>
      </c>
    </row>
    <row r="68" spans="1:7" ht="15" customHeight="1" x14ac:dyDescent="0.2">
      <c r="A68" s="2" t="s">
        <v>104</v>
      </c>
      <c r="B68" s="18">
        <v>0.03</v>
      </c>
      <c r="C68" s="4" t="s">
        <v>105</v>
      </c>
    </row>
    <row r="69" spans="1:7" ht="15" customHeight="1" x14ac:dyDescent="0.2">
      <c r="A69" s="2" t="s">
        <v>106</v>
      </c>
      <c r="B69" s="18">
        <v>1.4999999999999999E-2</v>
      </c>
      <c r="C69" s="4" t="s">
        <v>107</v>
      </c>
    </row>
    <row r="70" spans="1:7" ht="15" customHeight="1" x14ac:dyDescent="0.2">
      <c r="A70" s="14" t="s">
        <v>108</v>
      </c>
      <c r="B70" s="22">
        <f>B66+B67+B68</f>
        <v>0.155</v>
      </c>
      <c r="C70" s="4"/>
    </row>
    <row r="72" spans="1:7" ht="19.5" customHeight="1" x14ac:dyDescent="0.2">
      <c r="A72" s="52" t="s">
        <v>109</v>
      </c>
      <c r="B72" s="52"/>
      <c r="C72" s="52"/>
      <c r="D72" s="52"/>
      <c r="E72" s="52"/>
      <c r="F72" s="52"/>
      <c r="G72" s="52"/>
    </row>
    <row r="73" spans="1:7" ht="15" customHeight="1" x14ac:dyDescent="0.2">
      <c r="A73" s="2" t="s">
        <v>110</v>
      </c>
      <c r="B73" s="18">
        <v>0.03</v>
      </c>
      <c r="C73" t="s">
        <v>269</v>
      </c>
    </row>
    <row r="74" spans="1:7" ht="15" customHeight="1" x14ac:dyDescent="0.2">
      <c r="A74" s="2" t="s">
        <v>111</v>
      </c>
      <c r="B74" s="10">
        <v>475000</v>
      </c>
      <c r="C74" s="4" t="s">
        <v>270</v>
      </c>
    </row>
    <row r="76" spans="1:7" ht="19.5" customHeight="1" x14ac:dyDescent="0.2">
      <c r="A76" s="52" t="s">
        <v>112</v>
      </c>
      <c r="B76" s="52"/>
      <c r="C76" s="52"/>
      <c r="D76" s="52"/>
      <c r="E76" s="52"/>
      <c r="F76" s="52"/>
      <c r="G76" s="52"/>
    </row>
    <row r="77" spans="1:7" ht="15" customHeight="1" x14ac:dyDescent="0.2">
      <c r="A77" s="2" t="s">
        <v>113</v>
      </c>
      <c r="B77" s="10">
        <v>20000000</v>
      </c>
      <c r="C77" s="18">
        <v>6.5000000000000002E-2</v>
      </c>
      <c r="D77" s="4" t="s">
        <v>114</v>
      </c>
    </row>
    <row r="78" spans="1:7" ht="15" customHeight="1" x14ac:dyDescent="0.2">
      <c r="A78" s="2" t="s">
        <v>115</v>
      </c>
      <c r="B78" s="10">
        <v>5000000</v>
      </c>
      <c r="C78" s="18">
        <v>0.11</v>
      </c>
      <c r="D78" s="4" t="s">
        <v>271</v>
      </c>
    </row>
    <row r="79" spans="1:7" ht="15" customHeight="1" x14ac:dyDescent="0.2">
      <c r="A79" s="2" t="s">
        <v>116</v>
      </c>
      <c r="B79" s="10">
        <v>7500000</v>
      </c>
      <c r="D79" s="4" t="s">
        <v>117</v>
      </c>
    </row>
    <row r="80" spans="1:7" ht="15" customHeight="1" x14ac:dyDescent="0.2">
      <c r="A80" s="2" t="s">
        <v>118</v>
      </c>
      <c r="B80" s="10">
        <v>32500000</v>
      </c>
      <c r="D80" s="4">
        <f>B77+B78+B79</f>
        <v>32500000</v>
      </c>
    </row>
  </sheetData>
  <mergeCells count="13">
    <mergeCell ref="A1:G1"/>
    <mergeCell ref="A2:G2"/>
    <mergeCell ref="A4:G4"/>
    <mergeCell ref="A13:G13"/>
    <mergeCell ref="A24:G24"/>
    <mergeCell ref="A65:G65"/>
    <mergeCell ref="A72:G72"/>
    <mergeCell ref="A76:G76"/>
    <mergeCell ref="A40:G40"/>
    <mergeCell ref="A42:G42"/>
    <mergeCell ref="A47:G47"/>
    <mergeCell ref="A52:G52"/>
    <mergeCell ref="A56:G5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zoomScaleNormal="100" workbookViewId="0">
      <selection activeCell="A25" sqref="A25"/>
    </sheetView>
  </sheetViews>
  <sheetFormatPr baseColWidth="10" defaultColWidth="8.83203125" defaultRowHeight="15" customHeight="1" x14ac:dyDescent="0.2"/>
  <cols>
    <col min="1" max="1" width="50" customWidth="1"/>
    <col min="2" max="2" width="19.33203125" customWidth="1"/>
    <col min="3" max="10" width="14" customWidth="1"/>
    <col min="11" max="11" width="19" customWidth="1"/>
  </cols>
  <sheetData>
    <row r="1" spans="1:11" ht="30" customHeight="1" x14ac:dyDescent="0.2">
      <c r="A1" s="55" t="s">
        <v>119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18" customHeight="1" x14ac:dyDescent="0.2">
      <c r="A2" s="56" t="s">
        <v>120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4" spans="1:11" ht="19.5" customHeight="1" x14ac:dyDescent="0.2">
      <c r="A4" s="23" t="s">
        <v>121</v>
      </c>
      <c r="B4" s="24" t="s">
        <v>76</v>
      </c>
      <c r="C4" s="24" t="s">
        <v>77</v>
      </c>
      <c r="D4" s="24" t="s">
        <v>78</v>
      </c>
      <c r="E4" s="24" t="s">
        <v>79</v>
      </c>
      <c r="F4" s="24" t="s">
        <v>80</v>
      </c>
      <c r="G4" s="24" t="s">
        <v>122</v>
      </c>
      <c r="H4" s="24" t="s">
        <v>123</v>
      </c>
      <c r="I4" s="24" t="s">
        <v>124</v>
      </c>
      <c r="J4" s="24" t="s">
        <v>125</v>
      </c>
      <c r="K4" s="24" t="s">
        <v>126</v>
      </c>
    </row>
    <row r="5" spans="1:11" ht="19.5" customHeight="1" x14ac:dyDescent="0.2">
      <c r="A5" s="52" t="s">
        <v>127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">
      <c r="A6" s="2" t="s">
        <v>128</v>
      </c>
      <c r="B6" s="25">
        <f>Assumptions!B43*Assumptions!B46</f>
        <v>3111625</v>
      </c>
      <c r="C6" s="25">
        <f>Assumptions!C43*Assumptions!C46</f>
        <v>4861800</v>
      </c>
      <c r="D6" s="25">
        <f>Assumptions!D43*Assumptions!D46</f>
        <v>5551650</v>
      </c>
      <c r="E6" s="25">
        <f>Assumptions!E43*Assumptions!E46</f>
        <v>5779410</v>
      </c>
      <c r="F6" s="25">
        <f>Assumptions!F43*Assumptions!F46</f>
        <v>6084185</v>
      </c>
      <c r="G6" s="25">
        <f t="shared" ref="G6:K7" si="0">F6*(1+0.04)</f>
        <v>6327552.4000000004</v>
      </c>
      <c r="H6" s="25">
        <f t="shared" si="0"/>
        <v>6580654.4960000003</v>
      </c>
      <c r="I6" s="25">
        <f t="shared" si="0"/>
        <v>6843880.6758400006</v>
      </c>
      <c r="J6" s="25">
        <f t="shared" si="0"/>
        <v>7117635.9028736008</v>
      </c>
      <c r="K6" s="25">
        <f t="shared" si="0"/>
        <v>7402341.3389885454</v>
      </c>
    </row>
    <row r="7" spans="1:11" ht="15" customHeight="1" x14ac:dyDescent="0.2">
      <c r="A7" s="2" t="s">
        <v>129</v>
      </c>
      <c r="B7" s="25">
        <f>Assumptions!B48*Assumptions!B51</f>
        <v>1445400</v>
      </c>
      <c r="C7" s="25">
        <f>Assumptions!C48*Assumptions!C51</f>
        <v>2010420</v>
      </c>
      <c r="D7" s="25">
        <f>Assumptions!D48*Assumptions!D51</f>
        <v>2217510</v>
      </c>
      <c r="E7" s="25">
        <f>Assumptions!E48*Assumptions!E51</f>
        <v>2307853</v>
      </c>
      <c r="F7" s="25">
        <f>Assumptions!F48*Assumptions!F51</f>
        <v>2430024</v>
      </c>
      <c r="G7" s="25">
        <f t="shared" si="0"/>
        <v>2527224.96</v>
      </c>
      <c r="H7" s="25">
        <f t="shared" si="0"/>
        <v>2628313.9583999999</v>
      </c>
      <c r="I7" s="25">
        <f t="shared" si="0"/>
        <v>2733446.5167359998</v>
      </c>
      <c r="J7" s="25">
        <f t="shared" si="0"/>
        <v>2842784.37740544</v>
      </c>
      <c r="K7" s="25">
        <f t="shared" si="0"/>
        <v>2956495.7525016577</v>
      </c>
    </row>
    <row r="8" spans="1:11" ht="15" customHeight="1" x14ac:dyDescent="0.2">
      <c r="A8" s="14" t="s">
        <v>130</v>
      </c>
      <c r="B8" s="15">
        <f t="shared" ref="B8:K8" si="1">B6+B7</f>
        <v>4557025</v>
      </c>
      <c r="C8" s="15">
        <f t="shared" si="1"/>
        <v>6872220</v>
      </c>
      <c r="D8" s="15">
        <f t="shared" si="1"/>
        <v>7769160</v>
      </c>
      <c r="E8" s="15">
        <f t="shared" si="1"/>
        <v>8087263</v>
      </c>
      <c r="F8" s="15">
        <f t="shared" si="1"/>
        <v>8514209</v>
      </c>
      <c r="G8" s="15">
        <f t="shared" si="1"/>
        <v>8854777.3599999994</v>
      </c>
      <c r="H8" s="15">
        <f t="shared" si="1"/>
        <v>9208968.4543999992</v>
      </c>
      <c r="I8" s="15">
        <f t="shared" si="1"/>
        <v>9577327.1925760005</v>
      </c>
      <c r="J8" s="15">
        <f t="shared" si="1"/>
        <v>9960420.2802790403</v>
      </c>
      <c r="K8" s="15">
        <f t="shared" si="1"/>
        <v>10358837.091490204</v>
      </c>
    </row>
    <row r="9" spans="1:11" ht="15" customHeight="1" x14ac:dyDescent="0.2">
      <c r="A9" s="2" t="s">
        <v>131</v>
      </c>
      <c r="B9" s="20">
        <f>Assumptions!B46+Assumptions!B51</f>
        <v>26645</v>
      </c>
      <c r="C9" s="20">
        <f>Assumptions!C46+Assumptions!C51</f>
        <v>34164</v>
      </c>
      <c r="D9" s="20">
        <f>Assumptions!D46+Assumptions!D51</f>
        <v>36683</v>
      </c>
      <c r="E9" s="20">
        <f>Assumptions!E46+Assumptions!E51</f>
        <v>36683</v>
      </c>
      <c r="F9" s="20">
        <f>Assumptions!F46+Assumptions!F51</f>
        <v>37157</v>
      </c>
      <c r="G9" s="20">
        <f>F9*(1+0.01)</f>
        <v>37528.57</v>
      </c>
      <c r="H9" s="20">
        <f>G9*(1+0.01)</f>
        <v>37903.8557</v>
      </c>
      <c r="I9" s="20">
        <f>H9*(1+0.01)</f>
        <v>38282.894257</v>
      </c>
      <c r="J9" s="20">
        <f>I9*(1+0.01)</f>
        <v>38665.723199569999</v>
      </c>
      <c r="K9" s="20">
        <f>J9*(1+0.01)</f>
        <v>39052.380431565696</v>
      </c>
    </row>
    <row r="10" spans="1:11" ht="15" customHeight="1" x14ac:dyDescent="0.2">
      <c r="A10" s="2" t="s">
        <v>132</v>
      </c>
      <c r="B10" s="25">
        <f>B9*Assumptions!B53</f>
        <v>1199025</v>
      </c>
      <c r="C10" s="25">
        <f>C9*Assumptions!C53</f>
        <v>1537380</v>
      </c>
      <c r="D10" s="25">
        <f>D9*Assumptions!D53</f>
        <v>1650735</v>
      </c>
      <c r="E10" s="25">
        <f>E9*Assumptions!E53</f>
        <v>1650735</v>
      </c>
      <c r="F10" s="25">
        <f>F9*Assumptions!F53</f>
        <v>1672065</v>
      </c>
      <c r="G10" s="25">
        <f t="shared" ref="G10:K11" si="2">F10*(1+0.04)</f>
        <v>1738947.6</v>
      </c>
      <c r="H10" s="25">
        <f t="shared" si="2"/>
        <v>1808505.5040000002</v>
      </c>
      <c r="I10" s="25">
        <f t="shared" si="2"/>
        <v>1880845.7241600002</v>
      </c>
      <c r="J10" s="25">
        <f t="shared" si="2"/>
        <v>1956079.5531264003</v>
      </c>
      <c r="K10" s="25">
        <f t="shared" si="2"/>
        <v>2034322.7352514565</v>
      </c>
    </row>
    <row r="11" spans="1:11" ht="15" customHeight="1" x14ac:dyDescent="0.2">
      <c r="A11" s="2" t="s">
        <v>133</v>
      </c>
      <c r="B11" s="25">
        <f>B9*Assumptions!B54</f>
        <v>319740</v>
      </c>
      <c r="C11" s="25">
        <f>C9*Assumptions!C54</f>
        <v>409968</v>
      </c>
      <c r="D11" s="25">
        <f>D9*Assumptions!D54</f>
        <v>440196</v>
      </c>
      <c r="E11" s="25">
        <f>E9*Assumptions!E54</f>
        <v>440196</v>
      </c>
      <c r="F11" s="25">
        <f>F9*Assumptions!F54</f>
        <v>445884</v>
      </c>
      <c r="G11" s="25">
        <f t="shared" si="2"/>
        <v>463719.36000000004</v>
      </c>
      <c r="H11" s="25">
        <f t="shared" si="2"/>
        <v>482268.13440000004</v>
      </c>
      <c r="I11" s="25">
        <f t="shared" si="2"/>
        <v>501558.85977600008</v>
      </c>
      <c r="J11" s="25">
        <f t="shared" si="2"/>
        <v>521621.21416704013</v>
      </c>
      <c r="K11" s="25">
        <f t="shared" si="2"/>
        <v>542486.0627337218</v>
      </c>
    </row>
    <row r="12" spans="1:11" ht="15" customHeight="1" x14ac:dyDescent="0.2">
      <c r="A12" s="23" t="s">
        <v>134</v>
      </c>
      <c r="B12" s="15">
        <f t="shared" ref="B12:K12" si="3">B8+B10+B11</f>
        <v>6075790</v>
      </c>
      <c r="C12" s="15">
        <f t="shared" si="3"/>
        <v>8819568</v>
      </c>
      <c r="D12" s="15">
        <f t="shared" si="3"/>
        <v>9860091</v>
      </c>
      <c r="E12" s="15">
        <f t="shared" si="3"/>
        <v>10178194</v>
      </c>
      <c r="F12" s="15">
        <f t="shared" si="3"/>
        <v>10632158</v>
      </c>
      <c r="G12" s="15">
        <f t="shared" si="3"/>
        <v>11057444.319999998</v>
      </c>
      <c r="H12" s="15">
        <f t="shared" si="3"/>
        <v>11499742.092800001</v>
      </c>
      <c r="I12" s="15">
        <f t="shared" si="3"/>
        <v>11959731.776512001</v>
      </c>
      <c r="J12" s="15">
        <f t="shared" si="3"/>
        <v>12438121.047572481</v>
      </c>
      <c r="K12" s="15">
        <f t="shared" si="3"/>
        <v>12935645.889475381</v>
      </c>
    </row>
    <row r="14" spans="1:11" ht="19.5" customHeight="1" x14ac:dyDescent="0.2">
      <c r="A14" s="52" t="s">
        <v>135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spans="1:11" ht="15" customHeight="1" x14ac:dyDescent="0.2">
      <c r="A15" s="2" t="s">
        <v>136</v>
      </c>
      <c r="B15" s="25">
        <f>B8*Assumptions!$B$57</f>
        <v>820264.5</v>
      </c>
      <c r="C15" s="25">
        <f>C8*Assumptions!$B$57</f>
        <v>1236999.5999999999</v>
      </c>
      <c r="D15" s="25">
        <f>D8*Assumptions!$B$57</f>
        <v>1398448.8</v>
      </c>
      <c r="E15" s="25">
        <f>E8*Assumptions!$B$57</f>
        <v>1455707.3399999999</v>
      </c>
      <c r="F15" s="25">
        <f>F8*Assumptions!$B$57</f>
        <v>1532557.6199999999</v>
      </c>
      <c r="G15" s="25">
        <f>G8*Assumptions!$B$57</f>
        <v>1593859.9247999999</v>
      </c>
      <c r="H15" s="25">
        <f>H8*Assumptions!$B$57</f>
        <v>1657614.3217919997</v>
      </c>
      <c r="I15" s="25">
        <f>I8*Assumptions!$B$57</f>
        <v>1723918.8946636801</v>
      </c>
      <c r="J15" s="25">
        <f>J8*Assumptions!$B$57</f>
        <v>1792875.6504502271</v>
      </c>
      <c r="K15" s="25">
        <f>K8*Assumptions!$B$57</f>
        <v>1864590.6764682366</v>
      </c>
    </row>
    <row r="16" spans="1:11" ht="15" customHeight="1" x14ac:dyDescent="0.2">
      <c r="A16" s="2" t="s">
        <v>137</v>
      </c>
      <c r="B16" s="25">
        <f t="shared" ref="B16:K16" si="4">B10*0.6</f>
        <v>719415</v>
      </c>
      <c r="C16" s="25">
        <f t="shared" si="4"/>
        <v>922428</v>
      </c>
      <c r="D16" s="25">
        <f t="shared" si="4"/>
        <v>990441</v>
      </c>
      <c r="E16" s="25">
        <f t="shared" si="4"/>
        <v>990441</v>
      </c>
      <c r="F16" s="25">
        <f t="shared" si="4"/>
        <v>1003239</v>
      </c>
      <c r="G16" s="25">
        <f t="shared" si="4"/>
        <v>1043368.56</v>
      </c>
      <c r="H16" s="25">
        <f t="shared" si="4"/>
        <v>1085103.3024000002</v>
      </c>
      <c r="I16" s="25">
        <f t="shared" si="4"/>
        <v>1128507.4344960002</v>
      </c>
      <c r="J16" s="25">
        <f t="shared" si="4"/>
        <v>1173647.7318758401</v>
      </c>
      <c r="K16" s="25">
        <f t="shared" si="4"/>
        <v>1220593.6411508739</v>
      </c>
    </row>
    <row r="17" spans="1:11" ht="15" customHeight="1" x14ac:dyDescent="0.2">
      <c r="A17" s="2" t="s">
        <v>138</v>
      </c>
      <c r="B17" s="26">
        <f t="shared" ref="B17:K17" si="5">B12*0.18</f>
        <v>1093642.2</v>
      </c>
      <c r="C17" s="26">
        <f t="shared" si="5"/>
        <v>1587522.24</v>
      </c>
      <c r="D17" s="26">
        <f t="shared" si="5"/>
        <v>1774816.38</v>
      </c>
      <c r="E17" s="26">
        <f t="shared" si="5"/>
        <v>1832074.92</v>
      </c>
      <c r="F17" s="26">
        <f t="shared" si="5"/>
        <v>1913788.44</v>
      </c>
      <c r="G17" s="26">
        <f t="shared" si="5"/>
        <v>1990339.9775999996</v>
      </c>
      <c r="H17" s="26">
        <f t="shared" si="5"/>
        <v>2069953.5767040001</v>
      </c>
      <c r="I17" s="26">
        <f t="shared" si="5"/>
        <v>2152751.7197721601</v>
      </c>
      <c r="J17" s="26">
        <f t="shared" si="5"/>
        <v>2238861.7885630466</v>
      </c>
      <c r="K17" s="26">
        <f t="shared" si="5"/>
        <v>2328416.2601055684</v>
      </c>
    </row>
    <row r="18" spans="1:11" ht="15" customHeight="1" x14ac:dyDescent="0.2">
      <c r="A18" s="2" t="s">
        <v>139</v>
      </c>
      <c r="B18" s="25">
        <f>B12*Assumptions!$B$61</f>
        <v>303789.5</v>
      </c>
      <c r="C18" s="25">
        <f>C12*Assumptions!$B$61</f>
        <v>440978.4</v>
      </c>
      <c r="D18" s="25">
        <f>D12*Assumptions!$B$61</f>
        <v>493004.55000000005</v>
      </c>
      <c r="E18" s="25">
        <f>E12*Assumptions!$B$61</f>
        <v>508909.7</v>
      </c>
      <c r="F18" s="25">
        <f>F12*Assumptions!$B$61</f>
        <v>531607.9</v>
      </c>
      <c r="G18" s="25">
        <f>G12*Assumptions!$B$61</f>
        <v>552872.2159999999</v>
      </c>
      <c r="H18" s="25">
        <f>H12*Assumptions!$B$61</f>
        <v>574987.10464000003</v>
      </c>
      <c r="I18" s="25">
        <f>I12*Assumptions!$B$61</f>
        <v>597986.58882560011</v>
      </c>
      <c r="J18" s="25">
        <f>J12*Assumptions!$B$61</f>
        <v>621906.0523786241</v>
      </c>
      <c r="K18" s="25">
        <f>K12*Assumptions!$B$61</f>
        <v>646782.29447376914</v>
      </c>
    </row>
    <row r="19" spans="1:11" ht="15" customHeight="1" x14ac:dyDescent="0.2">
      <c r="A19" s="2" t="s">
        <v>140</v>
      </c>
      <c r="B19" s="25">
        <f t="shared" ref="B19:K19" si="6">B12*0.03</f>
        <v>182273.69999999998</v>
      </c>
      <c r="C19" s="25">
        <f t="shared" si="6"/>
        <v>264587.03999999998</v>
      </c>
      <c r="D19" s="25">
        <f t="shared" si="6"/>
        <v>295802.73</v>
      </c>
      <c r="E19" s="25">
        <f t="shared" si="6"/>
        <v>305345.82</v>
      </c>
      <c r="F19" s="25">
        <f t="shared" si="6"/>
        <v>318964.74</v>
      </c>
      <c r="G19" s="25">
        <f t="shared" si="6"/>
        <v>331723.32959999994</v>
      </c>
      <c r="H19" s="25">
        <f t="shared" si="6"/>
        <v>344992.26278400002</v>
      </c>
      <c r="I19" s="25">
        <f t="shared" si="6"/>
        <v>358791.95329536003</v>
      </c>
      <c r="J19" s="25">
        <f t="shared" si="6"/>
        <v>373143.63142717438</v>
      </c>
      <c r="K19" s="25">
        <f t="shared" si="6"/>
        <v>388069.37668426143</v>
      </c>
    </row>
    <row r="20" spans="1:11" ht="15" customHeight="1" x14ac:dyDescent="0.2">
      <c r="A20" s="2" t="s">
        <v>141</v>
      </c>
      <c r="B20" s="25">
        <v>650000</v>
      </c>
      <c r="C20" s="25">
        <f t="shared" ref="C20:K20" si="7">B20*1.03</f>
        <v>669500</v>
      </c>
      <c r="D20" s="25">
        <f t="shared" si="7"/>
        <v>689585</v>
      </c>
      <c r="E20" s="25">
        <f t="shared" si="7"/>
        <v>710272.55</v>
      </c>
      <c r="F20" s="25">
        <f t="shared" si="7"/>
        <v>731580.72650000011</v>
      </c>
      <c r="G20" s="25">
        <f t="shared" si="7"/>
        <v>753528.14829500008</v>
      </c>
      <c r="H20" s="25">
        <f t="shared" si="7"/>
        <v>776133.9927438501</v>
      </c>
      <c r="I20" s="25">
        <f t="shared" si="7"/>
        <v>799418.01252616558</v>
      </c>
      <c r="J20" s="25">
        <f t="shared" si="7"/>
        <v>823400.55290195055</v>
      </c>
      <c r="K20" s="25">
        <f t="shared" si="7"/>
        <v>848102.5694890091</v>
      </c>
    </row>
    <row r="21" spans="1:11" ht="15" customHeight="1" x14ac:dyDescent="0.2">
      <c r="A21" s="2" t="s">
        <v>142</v>
      </c>
      <c r="B21" s="25">
        <f t="shared" ref="B21:K21" si="8">B12*0.05</f>
        <v>303789.5</v>
      </c>
      <c r="C21" s="25">
        <f t="shared" si="8"/>
        <v>440978.4</v>
      </c>
      <c r="D21" s="25">
        <f t="shared" si="8"/>
        <v>493004.55000000005</v>
      </c>
      <c r="E21" s="25">
        <f t="shared" si="8"/>
        <v>508909.7</v>
      </c>
      <c r="F21" s="25">
        <f t="shared" si="8"/>
        <v>531607.9</v>
      </c>
      <c r="G21" s="25">
        <f t="shared" si="8"/>
        <v>552872.2159999999</v>
      </c>
      <c r="H21" s="25">
        <f t="shared" si="8"/>
        <v>574987.10464000003</v>
      </c>
      <c r="I21" s="25">
        <f t="shared" si="8"/>
        <v>597986.58882560011</v>
      </c>
      <c r="J21" s="25">
        <f t="shared" si="8"/>
        <v>621906.0523786241</v>
      </c>
      <c r="K21" s="25">
        <f t="shared" si="8"/>
        <v>646782.29447376914</v>
      </c>
    </row>
    <row r="22" spans="1:11" ht="15" customHeight="1" x14ac:dyDescent="0.2">
      <c r="A22" s="2" t="s">
        <v>143</v>
      </c>
      <c r="B22" s="25">
        <f>B12*Assumptions!$B$66</f>
        <v>455684.25</v>
      </c>
      <c r="C22" s="25">
        <f>C12*Assumptions!$B$66</f>
        <v>661467.6</v>
      </c>
      <c r="D22" s="25">
        <f>D12*Assumptions!$B$66</f>
        <v>739506.82499999995</v>
      </c>
      <c r="E22" s="25">
        <f>E12*Assumptions!$B$66</f>
        <v>763364.54999999993</v>
      </c>
      <c r="F22" s="25">
        <f>F12*Assumptions!$B$66</f>
        <v>797411.85</v>
      </c>
      <c r="G22" s="25">
        <f>G12*Assumptions!$B$66</f>
        <v>829308.32399999991</v>
      </c>
      <c r="H22" s="25">
        <f>H12*Assumptions!$B$66</f>
        <v>862480.65696000005</v>
      </c>
      <c r="I22" s="25">
        <f>I12*Assumptions!$B$66</f>
        <v>896979.88323839998</v>
      </c>
      <c r="J22" s="25">
        <f>J12*Assumptions!$B$66</f>
        <v>932859.07856793597</v>
      </c>
      <c r="K22" s="25">
        <f>K12*Assumptions!$B$66</f>
        <v>970173.44171065348</v>
      </c>
    </row>
    <row r="23" spans="1:11" ht="15" customHeight="1" x14ac:dyDescent="0.2">
      <c r="A23" s="2" t="s">
        <v>144</v>
      </c>
      <c r="B23" s="25">
        <f>B12*Assumptions!$B$67</f>
        <v>303789.5</v>
      </c>
      <c r="C23" s="25">
        <f>C12*Assumptions!$B$67</f>
        <v>440978.4</v>
      </c>
      <c r="D23" s="25">
        <f>D12*Assumptions!$B$67</f>
        <v>493004.55000000005</v>
      </c>
      <c r="E23" s="25">
        <f>E12*Assumptions!$B$67</f>
        <v>508909.7</v>
      </c>
      <c r="F23" s="25">
        <f>F12*Assumptions!$B$67</f>
        <v>531607.9</v>
      </c>
      <c r="G23" s="25">
        <f>G12*Assumptions!$B$67</f>
        <v>552872.2159999999</v>
      </c>
      <c r="H23" s="25">
        <f>H12*Assumptions!$B$67</f>
        <v>574987.10464000003</v>
      </c>
      <c r="I23" s="25">
        <f>I12*Assumptions!$B$67</f>
        <v>597986.58882560011</v>
      </c>
      <c r="J23" s="25">
        <f>J12*Assumptions!$B$67</f>
        <v>621906.0523786241</v>
      </c>
      <c r="K23" s="25">
        <f>K12*Assumptions!$B$67</f>
        <v>646782.29447376914</v>
      </c>
    </row>
    <row r="24" spans="1:11" ht="15" customHeight="1" x14ac:dyDescent="0.2">
      <c r="A24" s="2" t="s">
        <v>145</v>
      </c>
      <c r="B24" s="25">
        <f>B12*Assumptions!$B$68</f>
        <v>182273.69999999998</v>
      </c>
      <c r="C24" s="25">
        <f>C12*Assumptions!$B$68</f>
        <v>264587.03999999998</v>
      </c>
      <c r="D24" s="25">
        <f>D12*Assumptions!$B$68</f>
        <v>295802.73</v>
      </c>
      <c r="E24" s="25">
        <f>E12*Assumptions!$B$68</f>
        <v>305345.82</v>
      </c>
      <c r="F24" s="25">
        <f>F12*Assumptions!$B$68</f>
        <v>318964.74</v>
      </c>
      <c r="G24" s="25">
        <f>G12*Assumptions!$B$68</f>
        <v>331723.32959999994</v>
      </c>
      <c r="H24" s="25">
        <f>H12*Assumptions!$B$68</f>
        <v>344992.26278400002</v>
      </c>
      <c r="I24" s="25">
        <f>I12*Assumptions!$B$68</f>
        <v>358791.95329536003</v>
      </c>
      <c r="J24" s="25">
        <f>J12*Assumptions!$B$68</f>
        <v>373143.63142717438</v>
      </c>
      <c r="K24" s="25">
        <f>K12*Assumptions!$B$68</f>
        <v>388069.37668426143</v>
      </c>
    </row>
    <row r="25" spans="1:11" ht="15" customHeight="1" x14ac:dyDescent="0.2">
      <c r="A25" s="2" t="s">
        <v>146</v>
      </c>
      <c r="B25" s="25">
        <f>B10*Assumptions!$B$69</f>
        <v>17985.375</v>
      </c>
      <c r="C25" s="25">
        <f>C10*Assumptions!$B$69</f>
        <v>23060.7</v>
      </c>
      <c r="D25" s="25">
        <f>D10*Assumptions!$B$69</f>
        <v>24761.024999999998</v>
      </c>
      <c r="E25" s="25">
        <f>E10*Assumptions!$B$69</f>
        <v>24761.024999999998</v>
      </c>
      <c r="F25" s="25">
        <f>F10*Assumptions!$B$69</f>
        <v>25080.974999999999</v>
      </c>
      <c r="G25" s="25">
        <f>G10*Assumptions!$B$69</f>
        <v>26084.214</v>
      </c>
      <c r="H25" s="25">
        <f>H10*Assumptions!$B$69</f>
        <v>27127.582560000003</v>
      </c>
      <c r="I25" s="25">
        <f>I10*Assumptions!$B$69</f>
        <v>28212.685862400001</v>
      </c>
      <c r="J25" s="25">
        <f>J10*Assumptions!$B$69</f>
        <v>29341.193296896003</v>
      </c>
      <c r="K25" s="25">
        <f>K10*Assumptions!$B$69</f>
        <v>30514.841028771847</v>
      </c>
    </row>
    <row r="26" spans="1:11" ht="15" customHeight="1" x14ac:dyDescent="0.2">
      <c r="A26" s="23" t="s">
        <v>147</v>
      </c>
      <c r="B26" s="15">
        <f t="shared" ref="B26:K26" si="9">B15+B16+B17+B18+B19+B20+B21+B22+B23+B24+B25</f>
        <v>5032907.2250000006</v>
      </c>
      <c r="C26" s="15">
        <f t="shared" si="9"/>
        <v>6953087.4199999999</v>
      </c>
      <c r="D26" s="15">
        <f t="shared" si="9"/>
        <v>7688178.1399999987</v>
      </c>
      <c r="E26" s="15">
        <f t="shared" si="9"/>
        <v>7914042.1250000009</v>
      </c>
      <c r="F26" s="15">
        <f t="shared" si="9"/>
        <v>8236411.7915000012</v>
      </c>
      <c r="G26" s="15">
        <f t="shared" si="9"/>
        <v>8558552.4558949992</v>
      </c>
      <c r="H26" s="15">
        <f t="shared" si="9"/>
        <v>8893359.2726478502</v>
      </c>
      <c r="I26" s="15">
        <f t="shared" si="9"/>
        <v>9241332.3036263268</v>
      </c>
      <c r="J26" s="15">
        <f t="shared" si="9"/>
        <v>9602991.4156461172</v>
      </c>
      <c r="K26" s="15">
        <f t="shared" si="9"/>
        <v>9978877.0667429436</v>
      </c>
    </row>
    <row r="27" spans="1:11" ht="15" customHeight="1" x14ac:dyDescent="0.2">
      <c r="A27" s="1" t="s">
        <v>148</v>
      </c>
      <c r="B27" s="27">
        <f t="shared" ref="B27:K27" si="10">B12-B26</f>
        <v>1042882.7749999994</v>
      </c>
      <c r="C27" s="27">
        <f t="shared" si="10"/>
        <v>1866480.58</v>
      </c>
      <c r="D27" s="27">
        <f t="shared" si="10"/>
        <v>2171912.8600000013</v>
      </c>
      <c r="E27" s="27">
        <f t="shared" si="10"/>
        <v>2264151.8749999991</v>
      </c>
      <c r="F27" s="27">
        <f t="shared" si="10"/>
        <v>2395746.2084999988</v>
      </c>
      <c r="G27" s="27">
        <f t="shared" si="10"/>
        <v>2498891.8641049992</v>
      </c>
      <c r="H27" s="27">
        <f t="shared" si="10"/>
        <v>2606382.8201521505</v>
      </c>
      <c r="I27" s="27">
        <f t="shared" si="10"/>
        <v>2718399.4728856739</v>
      </c>
      <c r="J27" s="27">
        <f t="shared" si="10"/>
        <v>2835129.6319263633</v>
      </c>
      <c r="K27" s="27">
        <f t="shared" si="10"/>
        <v>2956768.8227324374</v>
      </c>
    </row>
    <row r="28" spans="1:11" ht="15" customHeight="1" x14ac:dyDescent="0.2">
      <c r="A28" s="14" t="s">
        <v>149</v>
      </c>
      <c r="B28" s="11">
        <f t="shared" ref="B28:K28" si="11">IF(B12&lt;&gt;0,B27/B12,0)</f>
        <v>0.17164562550713561</v>
      </c>
      <c r="C28" s="11">
        <f t="shared" si="11"/>
        <v>0.21162947890418216</v>
      </c>
      <c r="D28" s="11">
        <f t="shared" si="11"/>
        <v>0.22027310498452815</v>
      </c>
      <c r="E28" s="11">
        <f t="shared" si="11"/>
        <v>0.22245123987615081</v>
      </c>
      <c r="F28" s="11">
        <f t="shared" si="11"/>
        <v>0.22533019246892294</v>
      </c>
      <c r="G28" s="11">
        <f t="shared" si="11"/>
        <v>0.22599181074646366</v>
      </c>
      <c r="H28" s="11">
        <f t="shared" si="11"/>
        <v>0.22664706730979725</v>
      </c>
      <c r="I28" s="11">
        <f t="shared" si="11"/>
        <v>0.22729602332925247</v>
      </c>
      <c r="J28" s="11">
        <f t="shared" si="11"/>
        <v>0.22793873938698234</v>
      </c>
      <c r="K28" s="11">
        <f t="shared" si="11"/>
        <v>0.22857527548261855</v>
      </c>
    </row>
    <row r="30" spans="1:11" ht="19.5" customHeight="1" x14ac:dyDescent="0.2">
      <c r="A30" s="52" t="s">
        <v>109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1" ht="15" customHeight="1" x14ac:dyDescent="0.2">
      <c r="A31" s="2" t="s">
        <v>150</v>
      </c>
      <c r="B31" s="25">
        <f t="shared" ref="B31:K31" si="12">B12*0.03</f>
        <v>182273.69999999998</v>
      </c>
      <c r="C31" s="25">
        <f t="shared" si="12"/>
        <v>264587.03999999998</v>
      </c>
      <c r="D31" s="25">
        <f t="shared" si="12"/>
        <v>295802.73</v>
      </c>
      <c r="E31" s="25">
        <f t="shared" si="12"/>
        <v>305345.82</v>
      </c>
      <c r="F31" s="25">
        <f t="shared" si="12"/>
        <v>318964.74</v>
      </c>
      <c r="G31" s="25">
        <f t="shared" si="12"/>
        <v>331723.32959999994</v>
      </c>
      <c r="H31" s="25">
        <f t="shared" si="12"/>
        <v>344992.26278400002</v>
      </c>
      <c r="I31" s="25">
        <f t="shared" si="12"/>
        <v>358791.95329536003</v>
      </c>
      <c r="J31" s="25">
        <f t="shared" si="12"/>
        <v>373143.63142717438</v>
      </c>
      <c r="K31" s="25">
        <f t="shared" si="12"/>
        <v>388069.37668426143</v>
      </c>
    </row>
    <row r="32" spans="1:11" ht="15" customHeight="1" x14ac:dyDescent="0.2">
      <c r="A32" s="2" t="s">
        <v>151</v>
      </c>
      <c r="B32" s="25">
        <v>475000</v>
      </c>
      <c r="C32" s="25">
        <f t="shared" ref="C32:K32" si="13">B32*1.03</f>
        <v>489250</v>
      </c>
      <c r="D32" s="25">
        <f t="shared" si="13"/>
        <v>503927.5</v>
      </c>
      <c r="E32" s="25">
        <f t="shared" si="13"/>
        <v>519045.32500000001</v>
      </c>
      <c r="F32" s="25">
        <f t="shared" si="13"/>
        <v>534616.68475000001</v>
      </c>
      <c r="G32" s="25">
        <f t="shared" si="13"/>
        <v>550655.18529250007</v>
      </c>
      <c r="H32" s="25">
        <f t="shared" si="13"/>
        <v>567174.84085127513</v>
      </c>
      <c r="I32" s="25">
        <f t="shared" si="13"/>
        <v>584190.0860768134</v>
      </c>
      <c r="J32" s="25">
        <f t="shared" si="13"/>
        <v>601715.78865911777</v>
      </c>
      <c r="K32" s="25">
        <f t="shared" si="13"/>
        <v>619767.26231889136</v>
      </c>
    </row>
    <row r="33" spans="1:11" ht="15" customHeight="1" x14ac:dyDescent="0.2">
      <c r="A33" s="28" t="s">
        <v>152</v>
      </c>
      <c r="B33" s="29">
        <f t="shared" ref="B33:K33" si="14">B27-B31-B32</f>
        <v>385609.07499999949</v>
      </c>
      <c r="C33" s="29">
        <f t="shared" si="14"/>
        <v>1112643.54</v>
      </c>
      <c r="D33" s="29">
        <f t="shared" si="14"/>
        <v>1372182.6300000013</v>
      </c>
      <c r="E33" s="29">
        <f t="shared" si="14"/>
        <v>1439760.7299999991</v>
      </c>
      <c r="F33" s="29">
        <f t="shared" si="14"/>
        <v>1542164.7837499988</v>
      </c>
      <c r="G33" s="29">
        <f t="shared" si="14"/>
        <v>1616513.3492124993</v>
      </c>
      <c r="H33" s="29">
        <f t="shared" si="14"/>
        <v>1694215.7165168752</v>
      </c>
      <c r="I33" s="29">
        <f t="shared" si="14"/>
        <v>1775417.4335135007</v>
      </c>
      <c r="J33" s="29">
        <f t="shared" si="14"/>
        <v>1860270.2118400712</v>
      </c>
      <c r="K33" s="29">
        <f t="shared" si="14"/>
        <v>1948932.1837292844</v>
      </c>
    </row>
    <row r="34" spans="1:11" ht="15" customHeight="1" x14ac:dyDescent="0.2">
      <c r="A34" s="14" t="s">
        <v>153</v>
      </c>
      <c r="B34" s="11">
        <f t="shared" ref="B34:K34" si="15">IF(B12&lt;&gt;0,B33/B12,0)</f>
        <v>6.3466491600269181E-2</v>
      </c>
      <c r="C34" s="11">
        <f t="shared" si="15"/>
        <v>0.12615624030564762</v>
      </c>
      <c r="D34" s="11">
        <f t="shared" si="15"/>
        <v>0.13916531094895587</v>
      </c>
      <c r="E34" s="11">
        <f t="shared" si="15"/>
        <v>0.14145542224877999</v>
      </c>
      <c r="F34" s="11">
        <f t="shared" si="15"/>
        <v>0.14504720337583385</v>
      </c>
      <c r="G34" s="11">
        <f t="shared" si="15"/>
        <v>0.1461923119331158</v>
      </c>
      <c r="H34" s="11">
        <f t="shared" si="15"/>
        <v>0.14732640983119311</v>
      </c>
      <c r="I34" s="11">
        <f t="shared" si="15"/>
        <v>0.1484496029417888</v>
      </c>
      <c r="J34" s="11">
        <f t="shared" si="15"/>
        <v>0.14956199611862886</v>
      </c>
      <c r="K34" s="11">
        <f t="shared" si="15"/>
        <v>0.15066369320723</v>
      </c>
    </row>
    <row r="36" spans="1:11" ht="19.5" customHeight="1" x14ac:dyDescent="0.2">
      <c r="A36" s="52" t="s">
        <v>154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spans="1:11" ht="15" customHeight="1" x14ac:dyDescent="0.2">
      <c r="A37" s="2" t="s">
        <v>155</v>
      </c>
      <c r="B37" s="25">
        <f>Assumptions!$B$77*Assumptions!$C$77</f>
        <v>1300000</v>
      </c>
      <c r="C37" s="25">
        <f>Assumptions!$B$77*Assumptions!$C$77</f>
        <v>1300000</v>
      </c>
      <c r="D37" s="25">
        <f>Assumptions!$B$77*Assumptions!$C$77</f>
        <v>1300000</v>
      </c>
      <c r="E37" s="25">
        <f>Assumptions!$B$77*Assumptions!$C$77</f>
        <v>1300000</v>
      </c>
      <c r="F37" s="25">
        <f>Assumptions!$B$77*Assumptions!$C$77</f>
        <v>1300000</v>
      </c>
      <c r="G37" s="25">
        <f>Assumptions!$B$77*Assumptions!$C$77</f>
        <v>1300000</v>
      </c>
      <c r="H37" s="25">
        <f>Assumptions!$B$77*Assumptions!$C$77</f>
        <v>1300000</v>
      </c>
      <c r="I37" s="25">
        <f>Assumptions!$B$77*Assumptions!$C$77</f>
        <v>1300000</v>
      </c>
      <c r="J37" s="25">
        <f>Assumptions!$B$77*Assumptions!$C$77</f>
        <v>1300000</v>
      </c>
      <c r="K37" s="25">
        <f>Assumptions!$B$77*Assumptions!$C$77</f>
        <v>1300000</v>
      </c>
    </row>
    <row r="38" spans="1:11" ht="15" customHeight="1" x14ac:dyDescent="0.2">
      <c r="A38" s="2" t="s">
        <v>156</v>
      </c>
      <c r="B38" s="25">
        <f>Assumptions!$B$78*Assumptions!$C$78</f>
        <v>550000</v>
      </c>
      <c r="C38" s="25">
        <f>Assumptions!$B$78*Assumptions!$C$78</f>
        <v>550000</v>
      </c>
      <c r="D38" s="25">
        <f>Assumptions!$B$78*Assumptions!$C$78</f>
        <v>550000</v>
      </c>
      <c r="E38" s="25">
        <f>Assumptions!$B$78*Assumptions!$C$78</f>
        <v>550000</v>
      </c>
      <c r="F38" s="25">
        <f>Assumptions!$B$78*Assumptions!$C$78</f>
        <v>550000</v>
      </c>
      <c r="G38" s="25">
        <f>Assumptions!$B$78*Assumptions!$C$78</f>
        <v>550000</v>
      </c>
      <c r="H38" s="25">
        <f>Assumptions!$B$78*Assumptions!$C$78</f>
        <v>550000</v>
      </c>
      <c r="I38" s="25">
        <f>Assumptions!$B$78*Assumptions!$C$78</f>
        <v>550000</v>
      </c>
      <c r="J38" s="25">
        <f>Assumptions!$B$78*Assumptions!$C$78</f>
        <v>550000</v>
      </c>
      <c r="K38" s="25">
        <f>Assumptions!$B$78*Assumptions!$C$78</f>
        <v>550000</v>
      </c>
    </row>
    <row r="39" spans="1:11" ht="15" customHeight="1" x14ac:dyDescent="0.2">
      <c r="A39" s="14" t="s">
        <v>157</v>
      </c>
      <c r="B39" s="15">
        <f t="shared" ref="B39:K39" si="16">B37+B38</f>
        <v>1850000</v>
      </c>
      <c r="C39" s="15">
        <f t="shared" si="16"/>
        <v>1850000</v>
      </c>
      <c r="D39" s="15">
        <f t="shared" si="16"/>
        <v>1850000</v>
      </c>
      <c r="E39" s="15">
        <f t="shared" si="16"/>
        <v>1850000</v>
      </c>
      <c r="F39" s="15">
        <f t="shared" si="16"/>
        <v>1850000</v>
      </c>
      <c r="G39" s="15">
        <f t="shared" si="16"/>
        <v>1850000</v>
      </c>
      <c r="H39" s="15">
        <f t="shared" si="16"/>
        <v>1850000</v>
      </c>
      <c r="I39" s="15">
        <f t="shared" si="16"/>
        <v>1850000</v>
      </c>
      <c r="J39" s="15">
        <f t="shared" si="16"/>
        <v>1850000</v>
      </c>
      <c r="K39" s="15">
        <f t="shared" si="16"/>
        <v>1850000</v>
      </c>
    </row>
    <row r="40" spans="1:11" ht="27.75" customHeight="1" x14ac:dyDescent="0.2">
      <c r="A40" s="28" t="s">
        <v>158</v>
      </c>
      <c r="B40" s="29">
        <f t="shared" ref="B40:K40" si="17">B33-B39</f>
        <v>-1464390.9250000005</v>
      </c>
      <c r="C40" s="29">
        <f t="shared" si="17"/>
        <v>-737356.46</v>
      </c>
      <c r="D40" s="29">
        <f t="shared" si="17"/>
        <v>-477817.36999999871</v>
      </c>
      <c r="E40" s="29">
        <f t="shared" si="17"/>
        <v>-410239.27000000095</v>
      </c>
      <c r="F40" s="29">
        <f t="shared" si="17"/>
        <v>-307835.21625000122</v>
      </c>
      <c r="G40" s="29">
        <f t="shared" si="17"/>
        <v>-233486.65078750066</v>
      </c>
      <c r="H40" s="29">
        <f t="shared" si="17"/>
        <v>-155784.2834831248</v>
      </c>
      <c r="I40" s="29">
        <f t="shared" si="17"/>
        <v>-74582.566486499272</v>
      </c>
      <c r="J40" s="29">
        <f t="shared" si="17"/>
        <v>10270.21184007125</v>
      </c>
      <c r="K40" s="29">
        <f t="shared" si="17"/>
        <v>98932.183729284443</v>
      </c>
    </row>
    <row r="41" spans="1:11" ht="15" customHeight="1" x14ac:dyDescent="0.2">
      <c r="A41" s="14" t="s">
        <v>159</v>
      </c>
      <c r="B41" s="30">
        <f t="shared" ref="B41:K41" si="18">IF(B39&lt;&gt;0,B33/B39,0)</f>
        <v>0.20843733783783755</v>
      </c>
      <c r="C41" s="30">
        <f t="shared" si="18"/>
        <v>0.60142894054054052</v>
      </c>
      <c r="D41" s="30">
        <f t="shared" si="18"/>
        <v>0.74172034054054126</v>
      </c>
      <c r="E41" s="30">
        <f t="shared" si="18"/>
        <v>0.77824904324324273</v>
      </c>
      <c r="F41" s="30">
        <f t="shared" si="18"/>
        <v>0.83360258581081015</v>
      </c>
      <c r="G41" s="30">
        <f t="shared" si="18"/>
        <v>0.87379099957432393</v>
      </c>
      <c r="H41" s="30">
        <f t="shared" si="18"/>
        <v>0.91579227919831097</v>
      </c>
      <c r="I41" s="30">
        <f t="shared" si="18"/>
        <v>0.95968509919648692</v>
      </c>
      <c r="J41" s="30">
        <f t="shared" si="18"/>
        <v>1.005551465859498</v>
      </c>
      <c r="K41" s="30">
        <f t="shared" si="18"/>
        <v>1.0534768560698835</v>
      </c>
    </row>
  </sheetData>
  <mergeCells count="6">
    <mergeCell ref="A36:K36"/>
    <mergeCell ref="A1:K1"/>
    <mergeCell ref="A2:K2"/>
    <mergeCell ref="A5:K5"/>
    <mergeCell ref="A14:K14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topLeftCell="A5" zoomScaleNormal="100" workbookViewId="0">
      <selection sqref="A1:F1"/>
    </sheetView>
  </sheetViews>
  <sheetFormatPr baseColWidth="10" defaultColWidth="8.83203125" defaultRowHeight="15" customHeight="1" x14ac:dyDescent="0.2"/>
  <cols>
    <col min="1" max="1" width="43.83203125" customWidth="1"/>
    <col min="2" max="5" width="16" customWidth="1"/>
    <col min="6" max="6" width="27.83203125" customWidth="1"/>
  </cols>
  <sheetData>
    <row r="1" spans="1:6" ht="30" customHeight="1" x14ac:dyDescent="0.2">
      <c r="A1" s="55" t="s">
        <v>160</v>
      </c>
      <c r="B1" s="55"/>
      <c r="C1" s="55"/>
      <c r="D1" s="55"/>
      <c r="E1" s="55"/>
      <c r="F1" s="55"/>
    </row>
    <row r="2" spans="1:6" ht="18" customHeight="1" x14ac:dyDescent="0.2">
      <c r="A2" s="56" t="s">
        <v>161</v>
      </c>
      <c r="B2" s="56"/>
      <c r="C2" s="56"/>
      <c r="D2" s="56"/>
      <c r="E2" s="56"/>
      <c r="F2" s="56"/>
    </row>
    <row r="4" spans="1:6" ht="19.5" customHeight="1" x14ac:dyDescent="0.2">
      <c r="A4" s="52" t="s">
        <v>162</v>
      </c>
      <c r="B4" s="52"/>
      <c r="C4" s="52"/>
      <c r="D4" s="52"/>
      <c r="E4" s="52"/>
      <c r="F4" s="52"/>
    </row>
    <row r="5" spans="1:6" ht="15" customHeight="1" x14ac:dyDescent="0.2">
      <c r="A5" s="2" t="s">
        <v>9</v>
      </c>
      <c r="B5" s="31">
        <f>Assumptions!$B$22</f>
        <v>32500000</v>
      </c>
    </row>
    <row r="6" spans="1:6" ht="15" customHeight="1" x14ac:dyDescent="0.2">
      <c r="A6" s="2" t="s">
        <v>113</v>
      </c>
      <c r="B6" s="31">
        <f>Assumptions!$B$77</f>
        <v>20000000</v>
      </c>
    </row>
    <row r="7" spans="1:6" ht="15" customHeight="1" x14ac:dyDescent="0.2">
      <c r="A7" s="2" t="s">
        <v>163</v>
      </c>
      <c r="B7" s="32">
        <f>Assumptions!$C$77</f>
        <v>6.5000000000000002E-2</v>
      </c>
    </row>
    <row r="8" spans="1:6" ht="15" customHeight="1" x14ac:dyDescent="0.2">
      <c r="A8" s="2" t="s">
        <v>115</v>
      </c>
      <c r="B8" s="31">
        <f>Assumptions!$B$78</f>
        <v>5000000</v>
      </c>
    </row>
    <row r="9" spans="1:6" ht="15" customHeight="1" x14ac:dyDescent="0.2">
      <c r="A9" s="2" t="s">
        <v>164</v>
      </c>
      <c r="B9" s="32">
        <f>Assumptions!$C$78</f>
        <v>0.11</v>
      </c>
    </row>
    <row r="10" spans="1:6" ht="15" customHeight="1" x14ac:dyDescent="0.2">
      <c r="A10" s="2" t="s">
        <v>116</v>
      </c>
      <c r="B10" s="31">
        <f>Assumptions!$B$79</f>
        <v>7500000</v>
      </c>
    </row>
    <row r="11" spans="1:6" ht="15" customHeight="1" x14ac:dyDescent="0.2">
      <c r="A11" s="2" t="s">
        <v>165</v>
      </c>
      <c r="B11" s="11">
        <f>B6/B5</f>
        <v>0.61538461538461542</v>
      </c>
    </row>
    <row r="13" spans="1:6" ht="19.5" customHeight="1" x14ac:dyDescent="0.2">
      <c r="A13" s="52" t="s">
        <v>166</v>
      </c>
      <c r="B13" s="52"/>
      <c r="C13" s="52"/>
      <c r="D13" s="52"/>
      <c r="E13" s="52"/>
      <c r="F13" s="52"/>
    </row>
    <row r="14" spans="1:6" ht="15" customHeight="1" x14ac:dyDescent="0.2">
      <c r="A14" s="17" t="s">
        <v>167</v>
      </c>
      <c r="B14" s="17" t="s">
        <v>76</v>
      </c>
      <c r="C14" s="17" t="s">
        <v>78</v>
      </c>
      <c r="D14" s="17" t="s">
        <v>80</v>
      </c>
      <c r="E14" s="17" t="s">
        <v>123</v>
      </c>
      <c r="F14" s="17" t="s">
        <v>126</v>
      </c>
    </row>
    <row r="15" spans="1:6" ht="15" customHeight="1" x14ac:dyDescent="0.2">
      <c r="A15" s="2" t="s">
        <v>168</v>
      </c>
      <c r="B15" s="31">
        <f>'10-Year Proforma'!B12</f>
        <v>6075790</v>
      </c>
      <c r="C15" s="31">
        <f>'10-Year Proforma'!D12</f>
        <v>9860091</v>
      </c>
      <c r="D15" s="31">
        <f>'10-Year Proforma'!F12</f>
        <v>10632158</v>
      </c>
      <c r="E15" s="31">
        <f>'10-Year Proforma'!H12</f>
        <v>11499742.092800001</v>
      </c>
      <c r="F15" s="31">
        <f>'10-Year Proforma'!K12</f>
        <v>12935645.889475381</v>
      </c>
    </row>
    <row r="16" spans="1:6" ht="15" customHeight="1" x14ac:dyDescent="0.2">
      <c r="A16" s="2" t="s">
        <v>169</v>
      </c>
      <c r="B16" s="31">
        <f>'10-Year Proforma'!B27</f>
        <v>1042882.7749999994</v>
      </c>
      <c r="C16" s="31">
        <f>'10-Year Proforma'!D27</f>
        <v>2171912.8600000013</v>
      </c>
      <c r="D16" s="31">
        <f>'10-Year Proforma'!F27</f>
        <v>2395746.2084999988</v>
      </c>
      <c r="E16" s="31">
        <f>'10-Year Proforma'!H27</f>
        <v>2606382.8201521505</v>
      </c>
      <c r="F16" s="31">
        <f>'10-Year Proforma'!K27</f>
        <v>2956768.8227324374</v>
      </c>
    </row>
    <row r="17" spans="1:6" ht="15" customHeight="1" x14ac:dyDescent="0.2">
      <c r="A17" s="2" t="s">
        <v>149</v>
      </c>
      <c r="B17" s="32">
        <f>'10-Year Proforma'!B28</f>
        <v>0.17164562550713561</v>
      </c>
      <c r="C17" s="32">
        <f>'10-Year Proforma'!D28</f>
        <v>0.22027310498452815</v>
      </c>
      <c r="D17" s="32">
        <f>'10-Year Proforma'!F28</f>
        <v>0.22533019246892294</v>
      </c>
      <c r="E17" s="32">
        <f>'10-Year Proforma'!H28</f>
        <v>0.22664706730979725</v>
      </c>
      <c r="F17" s="32">
        <f>'10-Year Proforma'!K28</f>
        <v>0.22857527548261855</v>
      </c>
    </row>
    <row r="18" spans="1:6" ht="15" customHeight="1" x14ac:dyDescent="0.2">
      <c r="A18" s="2" t="s">
        <v>170</v>
      </c>
      <c r="B18" s="31">
        <f>'10-Year Proforma'!B33</f>
        <v>385609.07499999949</v>
      </c>
      <c r="C18" s="31">
        <f>'10-Year Proforma'!D33</f>
        <v>1372182.6300000013</v>
      </c>
      <c r="D18" s="31">
        <f>'10-Year Proforma'!F33</f>
        <v>1542164.7837499988</v>
      </c>
      <c r="E18" s="31">
        <f>'10-Year Proforma'!H33</f>
        <v>1694215.7165168752</v>
      </c>
      <c r="F18" s="31">
        <f>'10-Year Proforma'!K33</f>
        <v>1948932.1837292844</v>
      </c>
    </row>
    <row r="19" spans="1:6" ht="15" customHeight="1" x14ac:dyDescent="0.2">
      <c r="A19" s="2" t="s">
        <v>153</v>
      </c>
      <c r="B19" s="32">
        <f>'10-Year Proforma'!B34</f>
        <v>6.3466491600269181E-2</v>
      </c>
      <c r="C19" s="32">
        <f>'10-Year Proforma'!D34</f>
        <v>0.13916531094895587</v>
      </c>
      <c r="D19" s="32">
        <f>'10-Year Proforma'!F34</f>
        <v>0.14504720337583385</v>
      </c>
      <c r="E19" s="32">
        <f>'10-Year Proforma'!H34</f>
        <v>0.14732640983119311</v>
      </c>
      <c r="F19" s="32">
        <f>'10-Year Proforma'!K34</f>
        <v>0.15066369320723</v>
      </c>
    </row>
    <row r="20" spans="1:6" ht="15" customHeight="1" x14ac:dyDescent="0.2">
      <c r="A20" s="2" t="s">
        <v>157</v>
      </c>
      <c r="B20" s="31">
        <f>'10-Year Proforma'!B39</f>
        <v>1850000</v>
      </c>
      <c r="C20" s="31">
        <f>'10-Year Proforma'!D39</f>
        <v>1850000</v>
      </c>
      <c r="D20" s="31">
        <f>'10-Year Proforma'!F39</f>
        <v>1850000</v>
      </c>
      <c r="E20" s="31">
        <f>'10-Year Proforma'!H39</f>
        <v>1850000</v>
      </c>
      <c r="F20" s="31">
        <f>'10-Year Proforma'!K39</f>
        <v>1850000</v>
      </c>
    </row>
    <row r="21" spans="1:6" ht="15" customHeight="1" x14ac:dyDescent="0.2">
      <c r="A21" s="2" t="s">
        <v>171</v>
      </c>
      <c r="B21" s="31">
        <f>'10-Year Proforma'!B40</f>
        <v>-1464390.9250000005</v>
      </c>
      <c r="C21" s="31">
        <f>'10-Year Proforma'!D40</f>
        <v>-477817.36999999871</v>
      </c>
      <c r="D21" s="31">
        <f>'10-Year Proforma'!F40</f>
        <v>-307835.21625000122</v>
      </c>
      <c r="E21" s="31">
        <f>'10-Year Proforma'!H40</f>
        <v>-155784.2834831248</v>
      </c>
      <c r="F21" s="31">
        <f>'10-Year Proforma'!K40</f>
        <v>98932.183729284443</v>
      </c>
    </row>
    <row r="22" spans="1:6" ht="15" customHeight="1" x14ac:dyDescent="0.2">
      <c r="A22" s="2" t="s">
        <v>172</v>
      </c>
      <c r="B22" s="33">
        <f>'10-Year Proforma'!B41</f>
        <v>0.20843733783783755</v>
      </c>
      <c r="C22" s="33">
        <f>'10-Year Proforma'!D41</f>
        <v>0.74172034054054126</v>
      </c>
      <c r="D22" s="33">
        <f>'10-Year Proforma'!F41</f>
        <v>0.83360258581081015</v>
      </c>
      <c r="E22" s="33">
        <f>'10-Year Proforma'!H41</f>
        <v>0.91579227919831097</v>
      </c>
      <c r="F22" s="33">
        <f>'10-Year Proforma'!K41</f>
        <v>1.0534768560698835</v>
      </c>
    </row>
    <row r="24" spans="1:6" ht="19.5" customHeight="1" x14ac:dyDescent="0.2">
      <c r="A24" s="52" t="s">
        <v>173</v>
      </c>
      <c r="B24" s="52"/>
      <c r="C24" s="52"/>
      <c r="D24" s="52"/>
      <c r="E24" s="52"/>
      <c r="F24" s="52"/>
    </row>
    <row r="25" spans="1:6" ht="15" customHeight="1" x14ac:dyDescent="0.2">
      <c r="A25" s="2" t="s">
        <v>174</v>
      </c>
      <c r="B25" s="21">
        <v>8.5000000000000006E-2</v>
      </c>
    </row>
    <row r="26" spans="1:6" ht="15" customHeight="1" x14ac:dyDescent="0.2">
      <c r="A26" s="2" t="s">
        <v>175</v>
      </c>
      <c r="B26" s="31">
        <v>3864055</v>
      </c>
    </row>
    <row r="27" spans="1:6" ht="15" customHeight="1" x14ac:dyDescent="0.2">
      <c r="A27" s="14" t="s">
        <v>176</v>
      </c>
      <c r="B27" s="15">
        <f>B26/B25</f>
        <v>45459470.588235289</v>
      </c>
    </row>
    <row r="28" spans="1:6" ht="15" customHeight="1" x14ac:dyDescent="0.2">
      <c r="A28" s="2" t="s">
        <v>177</v>
      </c>
      <c r="B28" s="31">
        <v>20000000</v>
      </c>
    </row>
    <row r="29" spans="1:6" ht="15" customHeight="1" x14ac:dyDescent="0.2">
      <c r="A29" s="2" t="s">
        <v>178</v>
      </c>
      <c r="B29" s="10">
        <v>5000000</v>
      </c>
      <c r="C29" s="4" t="s">
        <v>179</v>
      </c>
    </row>
    <row r="30" spans="1:6" ht="15" customHeight="1" x14ac:dyDescent="0.2">
      <c r="A30" s="14" t="s">
        <v>180</v>
      </c>
      <c r="B30" s="15">
        <f>B27-B28-B29</f>
        <v>20459470.588235289</v>
      </c>
    </row>
    <row r="32" spans="1:6" ht="19.5" customHeight="1" x14ac:dyDescent="0.2">
      <c r="A32" s="52" t="s">
        <v>181</v>
      </c>
      <c r="B32" s="52"/>
      <c r="C32" s="52"/>
      <c r="D32" s="52"/>
      <c r="E32" s="52"/>
      <c r="F32" s="52"/>
    </row>
    <row r="33" spans="1:6" ht="15" customHeight="1" x14ac:dyDescent="0.2">
      <c r="A33" s="2" t="s">
        <v>182</v>
      </c>
      <c r="B33" s="31">
        <f>Assumptions!$B$79</f>
        <v>7500000</v>
      </c>
    </row>
    <row r="34" spans="1:6" ht="15" customHeight="1" x14ac:dyDescent="0.2">
      <c r="A34" s="2" t="s">
        <v>183</v>
      </c>
      <c r="B34" s="31">
        <f>B30</f>
        <v>20459470.588235289</v>
      </c>
    </row>
    <row r="35" spans="1:6" ht="15" customHeight="1" x14ac:dyDescent="0.2">
      <c r="A35" s="14" t="s">
        <v>184</v>
      </c>
      <c r="B35" s="34">
        <f>B34/B33</f>
        <v>2.727929411764705</v>
      </c>
    </row>
    <row r="36" spans="1:6" ht="15" customHeight="1" x14ac:dyDescent="0.2">
      <c r="A36" s="2" t="s">
        <v>185</v>
      </c>
      <c r="B36" s="11">
        <f>IF(B33&lt;&gt;0,'10-Year Proforma'!F40/B33,0)</f>
        <v>-4.1044695500000165E-2</v>
      </c>
    </row>
    <row r="37" spans="1:6" ht="15" customHeight="1" x14ac:dyDescent="0.2">
      <c r="A37" s="14" t="s">
        <v>186</v>
      </c>
      <c r="B37" s="35" t="s">
        <v>187</v>
      </c>
      <c r="C37" s="4" t="s">
        <v>188</v>
      </c>
    </row>
    <row r="39" spans="1:6" ht="19.5" customHeight="1" x14ac:dyDescent="0.2">
      <c r="A39" s="52" t="s">
        <v>189</v>
      </c>
      <c r="B39" s="52"/>
      <c r="C39" s="52"/>
      <c r="D39" s="52"/>
      <c r="E39" s="52"/>
      <c r="F39" s="52"/>
    </row>
    <row r="40" spans="1:6" ht="15" customHeight="1" x14ac:dyDescent="0.2">
      <c r="A40" s="36" t="s">
        <v>190</v>
      </c>
      <c r="B40" s="17" t="s">
        <v>191</v>
      </c>
      <c r="C40" s="17" t="s">
        <v>192</v>
      </c>
      <c r="D40" s="17" t="s">
        <v>193</v>
      </c>
      <c r="E40" s="17" t="s">
        <v>194</v>
      </c>
      <c r="F40" s="17" t="s">
        <v>195</v>
      </c>
    </row>
    <row r="41" spans="1:6" ht="15" customHeight="1" x14ac:dyDescent="0.2">
      <c r="A41" s="16" t="s">
        <v>196</v>
      </c>
      <c r="B41" s="3">
        <v>932762</v>
      </c>
      <c r="C41" s="3">
        <v>1089855</v>
      </c>
      <c r="D41" s="3">
        <v>1246948</v>
      </c>
      <c r="E41" s="3">
        <v>1404120</v>
      </c>
      <c r="F41" s="3">
        <v>1561292</v>
      </c>
    </row>
    <row r="42" spans="1:6" ht="15" customHeight="1" x14ac:dyDescent="0.2">
      <c r="A42" s="16" t="s">
        <v>197</v>
      </c>
      <c r="B42" s="3">
        <v>1072268</v>
      </c>
      <c r="C42" s="3">
        <v>1240089</v>
      </c>
      <c r="D42" s="3">
        <v>1407910</v>
      </c>
      <c r="E42" s="3">
        <v>1575816</v>
      </c>
      <c r="F42" s="3">
        <v>1743722</v>
      </c>
    </row>
    <row r="43" spans="1:6" ht="15" customHeight="1" x14ac:dyDescent="0.2">
      <c r="A43" s="16" t="s">
        <v>198</v>
      </c>
      <c r="B43" s="3">
        <v>1213767</v>
      </c>
      <c r="C43" s="3">
        <v>1392469</v>
      </c>
      <c r="D43" s="37">
        <v>1571171</v>
      </c>
      <c r="E43" s="3">
        <v>1749965</v>
      </c>
      <c r="F43" s="3">
        <v>1928758</v>
      </c>
    </row>
    <row r="44" spans="1:6" ht="15" customHeight="1" x14ac:dyDescent="0.2">
      <c r="A44" s="16" t="s">
        <v>199</v>
      </c>
      <c r="B44" s="3">
        <v>1355266</v>
      </c>
      <c r="C44" s="3">
        <v>1544849</v>
      </c>
      <c r="D44" s="3">
        <v>1734433</v>
      </c>
      <c r="E44" s="3">
        <v>1924114</v>
      </c>
      <c r="F44" s="3">
        <v>2113794</v>
      </c>
    </row>
    <row r="45" spans="1:6" ht="15" customHeight="1" x14ac:dyDescent="0.2">
      <c r="A45" s="16" t="s">
        <v>200</v>
      </c>
      <c r="B45" s="3">
        <v>1494772</v>
      </c>
      <c r="C45" s="3">
        <v>1695083</v>
      </c>
      <c r="D45" s="3">
        <v>1895395</v>
      </c>
      <c r="E45" s="3">
        <v>2095810</v>
      </c>
      <c r="F45" s="3">
        <v>2296224</v>
      </c>
    </row>
    <row r="47" spans="1:6" ht="15" customHeight="1" x14ac:dyDescent="0.2">
      <c r="A47" s="52" t="s">
        <v>201</v>
      </c>
      <c r="B47" s="52"/>
      <c r="C47" s="52"/>
      <c r="D47" s="52"/>
      <c r="E47" s="52"/>
      <c r="F47" s="52"/>
    </row>
    <row r="49" spans="1:2" ht="15" customHeight="1" x14ac:dyDescent="0.2">
      <c r="A49" s="38" t="s">
        <v>202</v>
      </c>
      <c r="B49" s="4" t="s">
        <v>203</v>
      </c>
    </row>
    <row r="50" spans="1:2" ht="15" customHeight="1" x14ac:dyDescent="0.2">
      <c r="A50" s="39" t="s">
        <v>204</v>
      </c>
      <c r="B50" s="4" t="s">
        <v>205</v>
      </c>
    </row>
    <row r="51" spans="1:2" ht="15" customHeight="1" x14ac:dyDescent="0.2">
      <c r="A51" s="40" t="s">
        <v>206</v>
      </c>
      <c r="B51" s="4" t="s">
        <v>207</v>
      </c>
    </row>
    <row r="52" spans="1:2" ht="15" customHeight="1" x14ac:dyDescent="0.2">
      <c r="A52" s="41" t="s">
        <v>208</v>
      </c>
      <c r="B52" s="4" t="s">
        <v>209</v>
      </c>
    </row>
    <row r="53" spans="1:2" ht="15" customHeight="1" x14ac:dyDescent="0.2">
      <c r="A53" s="42" t="s">
        <v>210</v>
      </c>
      <c r="B53" s="4" t="s">
        <v>211</v>
      </c>
    </row>
  </sheetData>
  <mergeCells count="8">
    <mergeCell ref="A32:F32"/>
    <mergeCell ref="A39:F39"/>
    <mergeCell ref="A47:F47"/>
    <mergeCell ref="A1:F1"/>
    <mergeCell ref="A2:F2"/>
    <mergeCell ref="A4:F4"/>
    <mergeCell ref="A13:F13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zoomScaleNormal="100" workbookViewId="0">
      <selection activeCell="D30" sqref="D30:H39"/>
    </sheetView>
  </sheetViews>
  <sheetFormatPr baseColWidth="10" defaultColWidth="8.83203125" defaultRowHeight="15" customHeight="1" x14ac:dyDescent="0.2"/>
  <cols>
    <col min="1" max="1" width="49.6640625" customWidth="1"/>
    <col min="2" max="2" width="22.1640625" customWidth="1"/>
    <col min="3" max="3" width="25.1640625" customWidth="1"/>
    <col min="4" max="4" width="34.1640625" customWidth="1"/>
    <col min="5" max="5" width="16.83203125" customWidth="1"/>
    <col min="6" max="6" width="15.6640625" customWidth="1"/>
    <col min="7" max="8" width="14" customWidth="1"/>
  </cols>
  <sheetData>
    <row r="1" spans="1:8" ht="30" customHeight="1" x14ac:dyDescent="0.2">
      <c r="A1" s="55" t="s">
        <v>212</v>
      </c>
      <c r="B1" s="55"/>
      <c r="C1" s="55"/>
      <c r="D1" s="55"/>
      <c r="E1" s="55"/>
      <c r="F1" s="55"/>
      <c r="G1" s="55"/>
      <c r="H1" s="55"/>
    </row>
    <row r="2" spans="1:8" ht="18" customHeight="1" x14ac:dyDescent="0.2">
      <c r="A2" s="56" t="s">
        <v>213</v>
      </c>
      <c r="B2" s="56"/>
      <c r="C2" s="56"/>
      <c r="D2" s="56"/>
      <c r="E2" s="56"/>
      <c r="F2" s="56"/>
      <c r="G2" s="56"/>
      <c r="H2" s="56"/>
    </row>
    <row r="4" spans="1:8" ht="15" customHeight="1" x14ac:dyDescent="0.2">
      <c r="A4" s="52" t="s">
        <v>214</v>
      </c>
      <c r="B4" s="52"/>
      <c r="C4" s="52"/>
      <c r="D4" s="52"/>
      <c r="E4" s="52"/>
      <c r="F4" s="52"/>
      <c r="G4" s="52"/>
      <c r="H4" s="52"/>
    </row>
    <row r="5" spans="1:8" ht="15" customHeight="1" x14ac:dyDescent="0.2">
      <c r="A5" s="24" t="s">
        <v>215</v>
      </c>
      <c r="B5" s="24" t="s">
        <v>216</v>
      </c>
      <c r="C5" s="24" t="s">
        <v>217</v>
      </c>
      <c r="D5" s="24" t="s">
        <v>18</v>
      </c>
      <c r="E5" s="24" t="s">
        <v>218</v>
      </c>
      <c r="F5" s="24" t="s">
        <v>219</v>
      </c>
      <c r="G5" s="24" t="s">
        <v>220</v>
      </c>
    </row>
    <row r="6" spans="1:8" ht="15" customHeight="1" x14ac:dyDescent="0.2">
      <c r="A6" s="43" t="s">
        <v>221</v>
      </c>
      <c r="B6" s="44">
        <v>0.1</v>
      </c>
      <c r="C6" s="45">
        <v>321750</v>
      </c>
      <c r="D6" s="45">
        <v>160875</v>
      </c>
      <c r="E6" s="45">
        <v>56306</v>
      </c>
      <c r="F6" s="4" t="s">
        <v>222</v>
      </c>
      <c r="G6" s="46" t="s">
        <v>223</v>
      </c>
    </row>
    <row r="7" spans="1:8" ht="15" customHeight="1" x14ac:dyDescent="0.2">
      <c r="A7" s="47" t="s">
        <v>224</v>
      </c>
      <c r="B7" s="48">
        <v>0.15</v>
      </c>
      <c r="C7" s="49">
        <v>482625</v>
      </c>
      <c r="D7" s="49">
        <v>241313</v>
      </c>
      <c r="E7" s="49">
        <v>84459</v>
      </c>
      <c r="F7" s="4" t="s">
        <v>225</v>
      </c>
      <c r="G7" s="50" t="s">
        <v>226</v>
      </c>
    </row>
    <row r="8" spans="1:8" ht="15" customHeight="1" x14ac:dyDescent="0.2">
      <c r="A8" s="43" t="s">
        <v>227</v>
      </c>
      <c r="B8" s="44">
        <v>0.25</v>
      </c>
      <c r="C8" s="45">
        <v>804375</v>
      </c>
      <c r="D8" s="45">
        <v>402188</v>
      </c>
      <c r="E8" s="45">
        <v>140766</v>
      </c>
      <c r="F8" s="4" t="s">
        <v>228</v>
      </c>
      <c r="G8" s="50" t="s">
        <v>226</v>
      </c>
    </row>
    <row r="9" spans="1:8" ht="15" customHeight="1" x14ac:dyDescent="0.2">
      <c r="A9" s="47" t="s">
        <v>229</v>
      </c>
      <c r="B9" s="48">
        <v>0.4</v>
      </c>
      <c r="C9" s="49">
        <v>1287000</v>
      </c>
      <c r="D9" s="49">
        <v>643500</v>
      </c>
      <c r="E9" s="49">
        <v>225225</v>
      </c>
      <c r="F9" s="4" t="s">
        <v>230</v>
      </c>
      <c r="G9" s="50" t="s">
        <v>226</v>
      </c>
    </row>
    <row r="10" spans="1:8" ht="15" customHeight="1" x14ac:dyDescent="0.2">
      <c r="A10" s="43" t="s">
        <v>231</v>
      </c>
      <c r="B10" s="44">
        <v>0.1</v>
      </c>
      <c r="C10" s="45">
        <v>321750</v>
      </c>
      <c r="D10" s="45">
        <v>160875</v>
      </c>
      <c r="E10" s="45">
        <v>56306</v>
      </c>
      <c r="F10" s="4" t="s">
        <v>232</v>
      </c>
      <c r="G10" s="50" t="s">
        <v>226</v>
      </c>
    </row>
    <row r="11" spans="1:8" ht="15" customHeight="1" x14ac:dyDescent="0.2">
      <c r="A11" s="14" t="s">
        <v>233</v>
      </c>
      <c r="C11" s="15">
        <v>3217500</v>
      </c>
      <c r="D11" s="15">
        <v>1608750</v>
      </c>
      <c r="E11" s="15">
        <v>562307</v>
      </c>
      <c r="F11" s="4" t="s">
        <v>234</v>
      </c>
    </row>
    <row r="13" spans="1:8" ht="15" customHeight="1" x14ac:dyDescent="0.2">
      <c r="A13" s="52" t="s">
        <v>235</v>
      </c>
      <c r="B13" s="52"/>
      <c r="C13" s="52"/>
      <c r="D13" s="52"/>
      <c r="E13" s="52"/>
      <c r="F13" s="52"/>
      <c r="G13" s="52"/>
      <c r="H13" s="52"/>
    </row>
    <row r="14" spans="1:8" ht="15" customHeight="1" x14ac:dyDescent="0.2">
      <c r="A14" s="36" t="s">
        <v>236</v>
      </c>
      <c r="B14" s="36" t="s">
        <v>237</v>
      </c>
      <c r="C14" s="36" t="s">
        <v>39</v>
      </c>
      <c r="D14" s="36" t="s">
        <v>238</v>
      </c>
    </row>
    <row r="15" spans="1:8" ht="15" customHeight="1" x14ac:dyDescent="0.2">
      <c r="A15" s="43" t="s">
        <v>239</v>
      </c>
      <c r="B15" s="45">
        <v>1608750</v>
      </c>
      <c r="C15" s="51" t="s">
        <v>240</v>
      </c>
      <c r="D15" s="51" t="s">
        <v>241</v>
      </c>
    </row>
    <row r="16" spans="1:8" ht="15" customHeight="1" x14ac:dyDescent="0.2">
      <c r="A16" s="47" t="s">
        <v>242</v>
      </c>
      <c r="B16" s="49">
        <v>450000</v>
      </c>
      <c r="C16" s="4" t="s">
        <v>45</v>
      </c>
      <c r="D16" s="4" t="s">
        <v>243</v>
      </c>
    </row>
    <row r="17" spans="1:4" ht="15" customHeight="1" x14ac:dyDescent="0.2">
      <c r="A17" s="43" t="s">
        <v>244</v>
      </c>
      <c r="B17" s="45">
        <v>150000</v>
      </c>
      <c r="C17" s="51" t="s">
        <v>48</v>
      </c>
      <c r="D17" s="51" t="s">
        <v>245</v>
      </c>
    </row>
    <row r="18" spans="1:4" ht="15" customHeight="1" x14ac:dyDescent="0.2">
      <c r="A18" s="47" t="s">
        <v>246</v>
      </c>
      <c r="B18" s="49">
        <v>380000</v>
      </c>
      <c r="C18" s="4" t="s">
        <v>51</v>
      </c>
      <c r="D18" s="4" t="s">
        <v>247</v>
      </c>
    </row>
    <row r="19" spans="1:4" ht="15" customHeight="1" x14ac:dyDescent="0.2">
      <c r="A19" s="43" t="s">
        <v>248</v>
      </c>
      <c r="B19" s="45">
        <v>95000</v>
      </c>
      <c r="C19" s="51" t="s">
        <v>54</v>
      </c>
      <c r="D19" s="51" t="s">
        <v>249</v>
      </c>
    </row>
    <row r="20" spans="1:4" ht="15" customHeight="1" x14ac:dyDescent="0.2">
      <c r="A20" s="47" t="s">
        <v>250</v>
      </c>
      <c r="B20" s="49">
        <v>80000</v>
      </c>
      <c r="C20" s="4" t="s">
        <v>57</v>
      </c>
      <c r="D20" s="4" t="s">
        <v>251</v>
      </c>
    </row>
    <row r="21" spans="1:4" ht="15" customHeight="1" x14ac:dyDescent="0.2">
      <c r="A21" s="43" t="s">
        <v>252</v>
      </c>
      <c r="B21" s="45">
        <v>60000</v>
      </c>
      <c r="C21" s="51" t="s">
        <v>57</v>
      </c>
      <c r="D21" s="51" t="s">
        <v>253</v>
      </c>
    </row>
    <row r="22" spans="1:4" ht="15" customHeight="1" x14ac:dyDescent="0.2">
      <c r="A22" s="47" t="s">
        <v>254</v>
      </c>
      <c r="B22" s="49">
        <v>17000</v>
      </c>
      <c r="C22" s="4" t="s">
        <v>255</v>
      </c>
      <c r="D22" s="4" t="s">
        <v>256</v>
      </c>
    </row>
    <row r="23" spans="1:4" ht="15" customHeight="1" x14ac:dyDescent="0.2">
      <c r="A23" s="43" t="s">
        <v>257</v>
      </c>
      <c r="B23" s="45">
        <v>10000</v>
      </c>
      <c r="C23" s="51" t="s">
        <v>57</v>
      </c>
      <c r="D23" s="51" t="s">
        <v>258</v>
      </c>
    </row>
    <row r="24" spans="1:4" ht="15" customHeight="1" x14ac:dyDescent="0.2">
      <c r="A24" s="47" t="s">
        <v>259</v>
      </c>
      <c r="B24" s="49">
        <v>250000</v>
      </c>
      <c r="C24" s="4" t="s">
        <v>260</v>
      </c>
      <c r="D24" s="4" t="s">
        <v>261</v>
      </c>
    </row>
    <row r="25" spans="1:4" ht="15" customHeight="1" x14ac:dyDescent="0.2">
      <c r="A25" s="43" t="s">
        <v>262</v>
      </c>
      <c r="B25" s="45">
        <v>150000</v>
      </c>
      <c r="C25" s="51" t="s">
        <v>57</v>
      </c>
      <c r="D25" s="51" t="s">
        <v>263</v>
      </c>
    </row>
    <row r="26" spans="1:4" ht="15" customHeight="1" x14ac:dyDescent="0.2">
      <c r="A26" s="14" t="s">
        <v>264</v>
      </c>
      <c r="B26" s="15">
        <v>3250750</v>
      </c>
    </row>
  </sheetData>
  <mergeCells count="4">
    <mergeCell ref="A1:H1"/>
    <mergeCell ref="A2:H2"/>
    <mergeCell ref="A4:H4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10-Year Proforma</vt:lpstr>
      <vt:lpstr>Returns Analysis</vt:lpstr>
      <vt:lpstr>Soft Cost Phasing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Kevyn Shorey</dc:creator>
  <dc:description/>
  <cp:lastModifiedBy>Kevyn Shorey</cp:lastModifiedBy>
  <cp:revision>0</cp:revision>
  <dcterms:created xsi:type="dcterms:W3CDTF">2026-02-19T22:00:42Z</dcterms:created>
  <dcterms:modified xsi:type="dcterms:W3CDTF">2026-03-05T11:48:14Z</dcterms:modified>
  <dc:language>en-US</dc:language>
</cp:coreProperties>
</file>